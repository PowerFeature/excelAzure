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chwar\Downloads\"/>
    </mc:Choice>
  </mc:AlternateContent>
  <xr:revisionPtr revIDLastSave="0" documentId="13_ncr:1_{E0CEA31D-8213-4B50-A4E1-3FC67F931B96}" xr6:coauthVersionLast="45" xr6:coauthVersionMax="45" xr10:uidLastSave="{00000000-0000-0000-0000-000000000000}"/>
  <bookViews>
    <workbookView xWindow="-110" yWindow="-110" windowWidth="25820" windowHeight="14020" activeTab="4" xr2:uid="{76FB606E-B3FC-4DBE-A184-7C562AE0ABA7}"/>
  </bookViews>
  <sheets>
    <sheet name="VM List" sheetId="10" r:id="rId1"/>
    <sheet name="Cheat Sheet" sheetId="11" r:id="rId2"/>
    <sheet name="Historic Prices" sheetId="13" r:id="rId3"/>
    <sheet name="Managed Disks + USSDs" sheetId="9" r:id="rId4"/>
    <sheet name="About" sheetId="1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4" i="13" l="1"/>
  <c r="F4" i="13"/>
  <c r="G1" i="13"/>
  <c r="H1" i="13" s="1"/>
  <c r="L1" i="13"/>
  <c r="L2" i="13" s="1"/>
  <c r="F10" i="13"/>
  <c r="F6" i="13"/>
  <c r="G38" i="13"/>
  <c r="K4" i="13"/>
  <c r="C4" i="9"/>
  <c r="J4" i="13"/>
  <c r="F20" i="13"/>
  <c r="F9" i="13"/>
  <c r="E36" i="9" a="1"/>
  <c r="F8" i="13"/>
  <c r="F13" i="13"/>
  <c r="I41" i="13"/>
  <c r="F12" i="13"/>
  <c r="I40" i="13"/>
  <c r="I4" i="13"/>
  <c r="F21" i="13"/>
  <c r="F3" i="13"/>
  <c r="F18" i="13"/>
  <c r="G4" i="13"/>
  <c r="F19" i="13"/>
  <c r="F7" i="13"/>
  <c r="F14" i="13"/>
  <c r="F17" i="13"/>
  <c r="F15" i="13"/>
  <c r="F16" i="13"/>
  <c r="F11" i="13"/>
  <c r="F23" i="13"/>
  <c r="F22" i="13"/>
  <c r="J38" i="13" a="1"/>
  <c r="F5" i="13"/>
  <c r="H4" i="13"/>
  <c r="J49" i="10"/>
  <c r="J17" i="10"/>
  <c r="J15" i="10"/>
  <c r="J6" i="10"/>
  <c r="J32" i="10"/>
  <c r="J39" i="10"/>
  <c r="J14" i="10"/>
  <c r="J29" i="10"/>
  <c r="J12" i="10"/>
  <c r="J26" i="10"/>
  <c r="J43" i="10"/>
  <c r="J5" i="10"/>
  <c r="H16" i="10"/>
  <c r="H42" i="10"/>
  <c r="H38" i="10"/>
  <c r="H41" i="10"/>
  <c r="H28" i="10"/>
  <c r="H27" i="10"/>
  <c r="H29" i="10"/>
  <c r="H39" i="10"/>
  <c r="H48" i="10"/>
  <c r="H46" i="10"/>
  <c r="H31" i="10"/>
  <c r="J9" i="10"/>
  <c r="J46" i="10"/>
  <c r="J18" i="10"/>
  <c r="J24" i="10"/>
  <c r="J23" i="10"/>
  <c r="J34" i="10"/>
  <c r="J21" i="10"/>
  <c r="J35" i="10"/>
  <c r="J44" i="10"/>
  <c r="J27" i="10"/>
  <c r="H24" i="10"/>
  <c r="H15" i="10"/>
  <c r="H25" i="10"/>
  <c r="H45" i="10"/>
  <c r="H37" i="10"/>
  <c r="H33" i="10"/>
  <c r="H35" i="10"/>
  <c r="H44" i="10"/>
  <c r="H7" i="10"/>
  <c r="H21" i="10"/>
  <c r="H22" i="10"/>
  <c r="H13" i="10"/>
  <c r="H20" i="10"/>
  <c r="H47" i="10"/>
  <c r="J41" i="10"/>
  <c r="J33" i="10"/>
  <c r="J47" i="10"/>
  <c r="J30" i="10"/>
  <c r="J48" i="10"/>
  <c r="J16" i="10"/>
  <c r="J7" i="10"/>
  <c r="J45" i="10"/>
  <c r="J13" i="10"/>
  <c r="J19" i="10"/>
  <c r="J36" i="10"/>
  <c r="J42" i="10"/>
  <c r="H11" i="10"/>
  <c r="H40" i="10"/>
  <c r="H19" i="10"/>
  <c r="H9" i="10"/>
  <c r="H6" i="10"/>
  <c r="H32" i="10"/>
  <c r="H30" i="10"/>
  <c r="H12" i="10"/>
  <c r="H5" i="10"/>
  <c r="I5" i="10" s="1"/>
  <c r="H10" i="10"/>
  <c r="J31" i="10"/>
  <c r="J22" i="10"/>
  <c r="J40" i="10"/>
  <c r="J8" i="10"/>
  <c r="J38" i="10"/>
  <c r="J37" i="10"/>
  <c r="J28" i="10"/>
  <c r="J11" i="10"/>
  <c r="J20" i="10"/>
  <c r="J10" i="10"/>
  <c r="H18" i="10"/>
  <c r="H8" i="10"/>
  <c r="H26" i="10"/>
  <c r="H14" i="10"/>
  <c r="H34" i="10"/>
  <c r="H17" i="10"/>
  <c r="H36" i="10"/>
  <c r="H23" i="10"/>
  <c r="H49" i="10"/>
  <c r="H43" i="10"/>
  <c r="J25" i="10"/>
  <c r="L4" i="13"/>
  <c r="E36" i="9" l="1"/>
  <c r="J38" i="13"/>
  <c r="H2" i="13"/>
  <c r="I1" i="13"/>
  <c r="G2" i="13"/>
  <c r="G3" i="13"/>
  <c r="H3" i="13"/>
  <c r="L3" i="13"/>
  <c r="M4" i="13" l="1"/>
  <c r="J1" i="13"/>
  <c r="I2" i="13"/>
  <c r="I5" i="13"/>
  <c r="H5" i="13"/>
  <c r="I3" i="13"/>
  <c r="G5" i="13"/>
  <c r="L5" i="13"/>
  <c r="M5" i="13" l="1"/>
  <c r="J2" i="13"/>
  <c r="K1" i="13"/>
  <c r="K2" i="13" s="1"/>
  <c r="J6" i="13"/>
  <c r="K3" i="13"/>
  <c r="K6" i="13"/>
  <c r="J5" i="13"/>
  <c r="H6" i="13"/>
  <c r="J3" i="13"/>
  <c r="K5" i="13"/>
  <c r="I6" i="13"/>
  <c r="G6" i="13"/>
  <c r="L6" i="13"/>
  <c r="M6" i="13" l="1"/>
  <c r="I8" i="13"/>
  <c r="K10" i="13"/>
  <c r="I14" i="13"/>
  <c r="I13" i="13"/>
  <c r="G8" i="13"/>
  <c r="H15" i="13"/>
  <c r="I15" i="13"/>
  <c r="J8" i="13"/>
  <c r="G7" i="13"/>
  <c r="I12" i="13"/>
  <c r="H7" i="13"/>
  <c r="K9" i="13"/>
  <c r="I11" i="13"/>
  <c r="K12" i="13"/>
  <c r="J13" i="13"/>
  <c r="I9" i="13"/>
  <c r="G12" i="13"/>
  <c r="I7" i="13"/>
  <c r="J10" i="13"/>
  <c r="K11" i="13"/>
  <c r="G9" i="13"/>
  <c r="G11" i="13"/>
  <c r="J9" i="13"/>
  <c r="J12" i="13"/>
  <c r="G13" i="13"/>
  <c r="H10" i="13"/>
  <c r="H9" i="13"/>
  <c r="I10" i="13"/>
  <c r="J15" i="13"/>
  <c r="K14" i="13"/>
  <c r="H11" i="13"/>
  <c r="G10" i="13"/>
  <c r="K13" i="13"/>
  <c r="H13" i="13"/>
  <c r="G15" i="13"/>
  <c r="G14" i="13"/>
  <c r="K8" i="13"/>
  <c r="J7" i="13"/>
  <c r="J11" i="13"/>
  <c r="J14" i="13"/>
  <c r="H14" i="13"/>
  <c r="H8" i="13"/>
  <c r="K7" i="13"/>
  <c r="K15" i="13"/>
  <c r="H12" i="13"/>
  <c r="L10" i="13"/>
  <c r="L11" i="13"/>
  <c r="L14" i="13"/>
  <c r="L13" i="13"/>
  <c r="L12" i="13"/>
  <c r="L9" i="13"/>
  <c r="L7" i="13"/>
  <c r="L15" i="13"/>
  <c r="L8" i="13"/>
  <c r="M14" i="13" l="1"/>
  <c r="M12" i="13"/>
  <c r="M10" i="13"/>
  <c r="M9" i="13"/>
  <c r="M8" i="13"/>
  <c r="M15" i="13"/>
  <c r="M13" i="13"/>
  <c r="M11" i="13"/>
  <c r="M7" i="13"/>
  <c r="H16" i="13"/>
  <c r="K16" i="13"/>
  <c r="G16" i="13"/>
  <c r="I16" i="13"/>
  <c r="J16" i="13"/>
  <c r="L16" i="13"/>
  <c r="M16" i="13" l="1"/>
  <c r="H17" i="13"/>
  <c r="K17" i="13"/>
  <c r="I17" i="13"/>
  <c r="G17" i="13"/>
  <c r="J17" i="13"/>
  <c r="L17" i="13"/>
  <c r="M17" i="13" l="1"/>
  <c r="G18" i="13"/>
  <c r="J18" i="13"/>
  <c r="H18" i="13"/>
  <c r="I18" i="13"/>
  <c r="K18" i="13"/>
  <c r="L18" i="13"/>
  <c r="M18" i="13" l="1"/>
  <c r="K19" i="13"/>
  <c r="I19" i="13"/>
  <c r="J19" i="13"/>
  <c r="H19" i="13"/>
  <c r="G19" i="13"/>
  <c r="L19" i="13"/>
  <c r="M19" i="13" l="1"/>
  <c r="H20" i="13"/>
  <c r="G20" i="13"/>
  <c r="J20" i="13"/>
  <c r="K20" i="13"/>
  <c r="I20" i="13"/>
  <c r="L20" i="13"/>
  <c r="M20" i="13" l="1"/>
  <c r="K21" i="13"/>
  <c r="H21" i="13"/>
  <c r="G21" i="13"/>
  <c r="I21" i="13"/>
  <c r="J21" i="13"/>
  <c r="L21" i="13"/>
  <c r="M21" i="13" l="1"/>
  <c r="H22" i="13"/>
  <c r="I22" i="13"/>
  <c r="J22" i="13"/>
  <c r="K22" i="13"/>
  <c r="G22" i="13"/>
  <c r="L22" i="13"/>
  <c r="M22" i="13" l="1"/>
  <c r="J23" i="13"/>
  <c r="K23" i="13"/>
  <c r="G23" i="13"/>
  <c r="F25" i="13"/>
  <c r="H23" i="13"/>
  <c r="J24" i="13"/>
  <c r="K24" i="13"/>
  <c r="I23" i="13"/>
  <c r="H24" i="13"/>
  <c r="I24" i="13"/>
  <c r="G24" i="13"/>
  <c r="L24" i="13"/>
  <c r="L23" i="13"/>
  <c r="M23" i="13" l="1"/>
  <c r="M24" i="13"/>
  <c r="F26" i="13"/>
  <c r="I25" i="13"/>
  <c r="H25" i="13"/>
  <c r="G25" i="13"/>
  <c r="J25" i="13"/>
  <c r="K25" i="13"/>
  <c r="L25" i="13"/>
  <c r="M25" i="13" l="1"/>
  <c r="I26" i="13"/>
  <c r="K26" i="13"/>
  <c r="J26" i="13"/>
  <c r="F27" i="13"/>
  <c r="H26" i="13"/>
  <c r="G26" i="13"/>
  <c r="L26" i="13"/>
  <c r="M26" i="13" l="1"/>
  <c r="J27" i="13"/>
  <c r="G27" i="13"/>
  <c r="I27" i="13"/>
  <c r="H27" i="13"/>
  <c r="K27" i="13"/>
  <c r="F28" i="13"/>
  <c r="L27" i="13"/>
  <c r="M27" i="13" l="1"/>
  <c r="J28" i="13"/>
  <c r="K28" i="13"/>
  <c r="F29" i="13"/>
  <c r="G28" i="13"/>
  <c r="H28" i="13"/>
  <c r="I28" i="13"/>
  <c r="L28" i="13"/>
  <c r="M28" i="13" l="1"/>
  <c r="F30" i="13"/>
  <c r="H29" i="13"/>
  <c r="I29" i="13"/>
  <c r="K29" i="13"/>
  <c r="G29" i="13"/>
  <c r="J29" i="13"/>
  <c r="L29" i="13"/>
  <c r="M29" i="13" l="1"/>
  <c r="K30" i="13"/>
  <c r="I30" i="13"/>
  <c r="H30" i="13"/>
  <c r="J30" i="13"/>
  <c r="G30" i="13"/>
  <c r="F31" i="13"/>
  <c r="L30" i="13"/>
  <c r="M30" i="13" l="1"/>
  <c r="K31" i="13"/>
  <c r="H31" i="13"/>
  <c r="F32" i="13"/>
  <c r="G31" i="13"/>
  <c r="I31" i="13"/>
  <c r="J31" i="13"/>
  <c r="L31" i="13"/>
  <c r="M31" i="13" l="1"/>
  <c r="I32" i="13"/>
  <c r="K32" i="13"/>
  <c r="F33" i="13"/>
  <c r="G32" i="13"/>
  <c r="J32" i="13"/>
  <c r="H32" i="13"/>
  <c r="L32" i="13"/>
  <c r="M32" i="13" l="1"/>
  <c r="J34" i="13"/>
  <c r="G34" i="13"/>
  <c r="I33" i="13"/>
  <c r="K33" i="13"/>
  <c r="I34" i="13"/>
  <c r="K34" i="13"/>
  <c r="H33" i="13"/>
  <c r="H34" i="13"/>
  <c r="J33" i="13"/>
  <c r="F35" i="13"/>
  <c r="G33" i="13"/>
  <c r="L33" i="13"/>
  <c r="L34" i="13"/>
  <c r="M33" i="13" l="1"/>
  <c r="M34" i="13"/>
  <c r="K35" i="13"/>
  <c r="J35" i="13"/>
  <c r="H35" i="13"/>
  <c r="G35" i="13"/>
  <c r="I35" i="13"/>
  <c r="F38" i="13"/>
  <c r="L35" i="13"/>
  <c r="M35" i="13" l="1"/>
  <c r="C5" i="10"/>
  <c r="C6" i="10"/>
  <c r="C7" i="10"/>
  <c r="C8" i="10"/>
  <c r="C9" i="10"/>
  <c r="C10" i="10"/>
  <c r="C11" i="10"/>
  <c r="H40" i="13"/>
  <c r="H39" i="13"/>
  <c r="H47" i="13"/>
  <c r="H46" i="13"/>
  <c r="I46" i="13"/>
  <c r="F47" i="13"/>
  <c r="G47" i="13"/>
  <c r="G44" i="13"/>
  <c r="G41" i="13"/>
  <c r="F46" i="13"/>
  <c r="I47" i="13"/>
  <c r="I38" i="13"/>
  <c r="F41" i="13"/>
  <c r="F40" i="13"/>
  <c r="G39" i="13"/>
  <c r="H41" i="13"/>
  <c r="I45" i="13"/>
  <c r="H38" i="13"/>
  <c r="I44" i="13"/>
  <c r="G40" i="13"/>
  <c r="G46" i="13"/>
  <c r="I39" i="13"/>
  <c r="H44" i="13"/>
  <c r="F44" i="13"/>
  <c r="F39" i="13"/>
  <c r="H45" i="13"/>
  <c r="F45" i="13"/>
  <c r="G45" i="13"/>
  <c r="N9" i="10"/>
  <c r="I6" i="10"/>
  <c r="K6" i="10"/>
  <c r="I8" i="10"/>
  <c r="K7" i="10"/>
  <c r="M6" i="10"/>
  <c r="I7" i="10"/>
  <c r="N10" i="10"/>
  <c r="M7" i="10"/>
  <c r="N8" i="10"/>
  <c r="M10" i="10"/>
  <c r="K5" i="10"/>
  <c r="N11" i="10"/>
  <c r="K8" i="10"/>
  <c r="N6" i="10"/>
  <c r="N5" i="10"/>
  <c r="M8" i="10"/>
  <c r="N7" i="10"/>
  <c r="K9" i="10"/>
  <c r="I9" i="10"/>
  <c r="M9" i="10"/>
  <c r="M5" i="10"/>
  <c r="I10" i="10"/>
  <c r="K10" i="10"/>
  <c r="B32" i="12"/>
  <c r="B33" i="12"/>
  <c r="L5" i="10" l="1"/>
  <c r="L10" i="10"/>
  <c r="L9" i="10"/>
  <c r="L8" i="10"/>
  <c r="L7" i="10"/>
  <c r="L6" i="10"/>
  <c r="C12" i="10"/>
  <c r="C13" i="10"/>
  <c r="C14" i="10"/>
  <c r="C15" i="10"/>
  <c r="C16" i="10"/>
  <c r="M12" i="10"/>
  <c r="M15" i="10"/>
  <c r="I13" i="10"/>
  <c r="M14" i="10"/>
  <c r="I12" i="10"/>
  <c r="N16" i="10"/>
  <c r="K11" i="10"/>
  <c r="K14" i="10"/>
  <c r="I16" i="10"/>
  <c r="N15" i="10"/>
  <c r="K15" i="10"/>
  <c r="I14" i="10"/>
  <c r="M11" i="10"/>
  <c r="K12" i="10"/>
  <c r="M13" i="10"/>
  <c r="N13" i="10"/>
  <c r="N14" i="10"/>
  <c r="I11" i="10"/>
  <c r="I15" i="10"/>
  <c r="K13" i="10"/>
  <c r="N12" i="10"/>
  <c r="L11" i="10" l="1"/>
  <c r="L12" i="10"/>
  <c r="L15" i="10"/>
  <c r="L14" i="10"/>
  <c r="L13" i="10"/>
  <c r="C17" i="10"/>
  <c r="C18" i="10"/>
  <c r="C19" i="10"/>
  <c r="C20" i="10"/>
  <c r="C21" i="10"/>
  <c r="C22" i="10"/>
  <c r="C23" i="10"/>
  <c r="C24" i="10"/>
  <c r="C25" i="10"/>
  <c r="C26" i="10"/>
  <c r="N20" i="10"/>
  <c r="M16" i="10"/>
  <c r="K17" i="10"/>
  <c r="K19" i="10"/>
  <c r="I18" i="10"/>
  <c r="M23" i="10"/>
  <c r="I22" i="10"/>
  <c r="M17" i="10"/>
  <c r="N22" i="10"/>
  <c r="N25" i="10"/>
  <c r="I17" i="10"/>
  <c r="M24" i="10"/>
  <c r="N23" i="10"/>
  <c r="I24" i="10"/>
  <c r="I26" i="10"/>
  <c r="K24" i="10"/>
  <c r="M22" i="10"/>
  <c r="K16" i="10"/>
  <c r="K23" i="10"/>
  <c r="M18" i="10"/>
  <c r="N26" i="10"/>
  <c r="K21" i="10"/>
  <c r="K20" i="10"/>
  <c r="N17" i="10"/>
  <c r="I21" i="10"/>
  <c r="M20" i="10"/>
  <c r="M19" i="10"/>
  <c r="I25" i="10"/>
  <c r="K25" i="10"/>
  <c r="I20" i="10"/>
  <c r="I23" i="10"/>
  <c r="N18" i="10"/>
  <c r="M25" i="10"/>
  <c r="M21" i="10"/>
  <c r="I19" i="10"/>
  <c r="N19" i="10"/>
  <c r="K22" i="10"/>
  <c r="N21" i="10"/>
  <c r="N24" i="10"/>
  <c r="K18" i="10"/>
  <c r="L18" i="10" l="1"/>
  <c r="L19" i="10"/>
  <c r="L20" i="10"/>
  <c r="L21" i="10"/>
  <c r="L22" i="10"/>
  <c r="L16" i="10"/>
  <c r="L23" i="10"/>
  <c r="L24" i="10"/>
  <c r="L25" i="10"/>
  <c r="L17" i="10"/>
  <c r="C27" i="10"/>
  <c r="C28" i="10"/>
  <c r="C29" i="10"/>
  <c r="C30" i="10"/>
  <c r="C31" i="10"/>
  <c r="C32" i="10"/>
  <c r="C33" i="10"/>
  <c r="K30" i="10"/>
  <c r="N27" i="10"/>
  <c r="M29" i="10"/>
  <c r="I32" i="10"/>
  <c r="N33" i="10"/>
  <c r="I29" i="10"/>
  <c r="N29" i="10"/>
  <c r="M32" i="10"/>
  <c r="M27" i="10"/>
  <c r="N31" i="10"/>
  <c r="M31" i="10"/>
  <c r="M26" i="10"/>
  <c r="K32" i="10"/>
  <c r="I28" i="10"/>
  <c r="N28" i="10"/>
  <c r="I27" i="10"/>
  <c r="K27" i="10"/>
  <c r="M28" i="10"/>
  <c r="I31" i="10"/>
  <c r="K26" i="10"/>
  <c r="K28" i="10"/>
  <c r="N30" i="10"/>
  <c r="N32" i="10"/>
  <c r="K29" i="10"/>
  <c r="M30" i="10"/>
  <c r="K31" i="10"/>
  <c r="I30" i="10"/>
  <c r="L29" i="10" l="1"/>
  <c r="L30" i="10"/>
  <c r="L31" i="10"/>
  <c r="L32" i="10"/>
  <c r="L26" i="10"/>
  <c r="L27" i="10"/>
  <c r="L28" i="10"/>
  <c r="C34" i="10"/>
  <c r="C35" i="10"/>
  <c r="N35" i="10"/>
  <c r="I34" i="10"/>
  <c r="M34" i="10"/>
  <c r="N34" i="10"/>
  <c r="M33" i="10"/>
  <c r="K34" i="10"/>
  <c r="K33" i="10"/>
  <c r="I33" i="10"/>
  <c r="L34" i="10" l="1"/>
  <c r="L33" i="10"/>
  <c r="C36" i="10"/>
  <c r="N36" i="10"/>
  <c r="K35" i="10"/>
  <c r="I35" i="10"/>
  <c r="M35" i="10"/>
  <c r="L35" i="10" l="1"/>
  <c r="C37" i="10"/>
  <c r="C38" i="10"/>
  <c r="C39" i="10"/>
  <c r="K38" i="10"/>
  <c r="I36" i="10"/>
  <c r="N38" i="10"/>
  <c r="K36" i="10"/>
  <c r="M37" i="10"/>
  <c r="M38" i="10"/>
  <c r="K37" i="10"/>
  <c r="M36" i="10"/>
  <c r="I38" i="10"/>
  <c r="N39" i="10"/>
  <c r="N37" i="10"/>
  <c r="I37" i="10"/>
  <c r="L36" i="10" l="1"/>
  <c r="L38" i="10"/>
  <c r="L37" i="10"/>
  <c r="C40" i="10"/>
  <c r="I39" i="10"/>
  <c r="K39" i="10"/>
  <c r="M39" i="10"/>
  <c r="N40" i="10"/>
  <c r="L39" i="10" l="1"/>
  <c r="C41" i="10"/>
  <c r="M40" i="10"/>
  <c r="K40" i="10"/>
  <c r="N41" i="10"/>
  <c r="I40" i="10"/>
  <c r="L40" i="10" l="1"/>
  <c r="C42" i="10"/>
  <c r="C43" i="10"/>
  <c r="C44" i="10"/>
  <c r="I42" i="10"/>
  <c r="M41" i="10"/>
  <c r="M43" i="10"/>
  <c r="I44" i="10"/>
  <c r="I43" i="10"/>
  <c r="N44" i="10"/>
  <c r="N43" i="10"/>
  <c r="I41" i="10"/>
  <c r="K41" i="10"/>
  <c r="K43" i="10"/>
  <c r="K42" i="10"/>
  <c r="N42" i="10"/>
  <c r="M42" i="10"/>
  <c r="L43" i="10" l="1"/>
  <c r="L42" i="10"/>
  <c r="L41" i="10"/>
  <c r="C45" i="10"/>
  <c r="I45" i="10"/>
  <c r="M44" i="10"/>
  <c r="K44" i="10"/>
  <c r="N45" i="10"/>
  <c r="L44" i="10" l="1"/>
  <c r="C46" i="10"/>
  <c r="K45" i="10"/>
  <c r="M45" i="10"/>
  <c r="N46" i="10"/>
  <c r="I46" i="10"/>
  <c r="L45" i="10" l="1"/>
  <c r="C47" i="10"/>
  <c r="N47" i="10"/>
  <c r="M46" i="10"/>
  <c r="K46" i="10"/>
  <c r="L46" i="10" l="1"/>
  <c r="C48" i="10"/>
  <c r="C49" i="10"/>
  <c r="M48" i="10"/>
  <c r="I48" i="10"/>
  <c r="K47" i="10"/>
  <c r="N48" i="10"/>
  <c r="N49" i="10"/>
  <c r="M47" i="10"/>
  <c r="I47" i="10"/>
  <c r="K48" i="10"/>
  <c r="L48" i="10" l="1"/>
  <c r="L47" i="10"/>
  <c r="K49" i="10"/>
  <c r="M49" i="10"/>
  <c r="I49" i="10"/>
  <c r="L49" i="10" l="1"/>
  <c r="B22" i="9" l="1"/>
  <c r="B21" i="9"/>
  <c r="C20" i="9"/>
  <c r="C21" i="9"/>
  <c r="B40" i="9" l="1"/>
  <c r="B41" i="9" s="1"/>
  <c r="B42" i="9" s="1"/>
  <c r="B43" i="9" s="1"/>
  <c r="B44" i="9" s="1"/>
  <c r="B45" i="9" s="1"/>
  <c r="B37" i="9"/>
  <c r="C13" i="9"/>
  <c r="B27" i="9" l="1"/>
  <c r="B28" i="9" s="1"/>
  <c r="B29" i="9" s="1"/>
  <c r="B30" i="9" s="1"/>
  <c r="B31" i="9" s="1"/>
  <c r="B32" i="9" s="1"/>
  <c r="B33" i="9" s="1"/>
  <c r="B26" i="9"/>
  <c r="B25" i="9"/>
  <c r="E42" i="9" a="1"/>
  <c r="C32" i="9"/>
  <c r="L32" i="9"/>
  <c r="E43" i="9" a="1"/>
  <c r="M32" i="9"/>
  <c r="C30" i="9"/>
  <c r="C25" i="9"/>
  <c r="M25" i="9" s="1"/>
  <c r="E38" i="9" a="1"/>
  <c r="O30" i="9"/>
  <c r="D32" i="9"/>
  <c r="K30" i="9"/>
  <c r="G25" i="9"/>
  <c r="L25" i="9"/>
  <c r="E41" i="9" a="1"/>
  <c r="N25" i="9"/>
  <c r="H25" i="9"/>
  <c r="H32" i="9"/>
  <c r="I30" i="9"/>
  <c r="E39" i="9" a="1"/>
  <c r="F30" i="9"/>
  <c r="C24" i="9"/>
  <c r="N24" i="9" s="1"/>
  <c r="I24" i="9"/>
  <c r="K24" i="9"/>
  <c r="C33" i="9"/>
  <c r="H24" i="9"/>
  <c r="F24" i="9"/>
  <c r="C27" i="9"/>
  <c r="I25" i="9"/>
  <c r="H33" i="9"/>
  <c r="G32" i="9"/>
  <c r="L30" i="9"/>
  <c r="K27" i="9"/>
  <c r="E44" i="9" a="1"/>
  <c r="E45" i="9" a="1"/>
  <c r="C17" i="9"/>
  <c r="C29" i="9"/>
  <c r="I33" i="9"/>
  <c r="L29" i="9"/>
  <c r="G33" i="9"/>
  <c r="D30" i="9"/>
  <c r="I32" i="9"/>
  <c r="C26" i="9"/>
  <c r="E37" i="9" a="1"/>
  <c r="C28" i="9"/>
  <c r="E40" i="9" a="1"/>
  <c r="K25" i="9"/>
  <c r="F26" i="9"/>
  <c r="O24" i="9"/>
  <c r="K32" i="9"/>
  <c r="K28" i="9"/>
  <c r="K33" i="9"/>
  <c r="M28" i="9"/>
  <c r="H26" i="9"/>
  <c r="N26" i="9"/>
  <c r="G28" i="9"/>
  <c r="C31" i="9"/>
  <c r="F32" i="9"/>
  <c r="O25" i="9"/>
  <c r="L24" i="9"/>
  <c r="D28" i="9"/>
  <c r="N28" i="9"/>
  <c r="F33" i="9"/>
  <c r="N31" i="9"/>
  <c r="F27" i="9"/>
  <c r="L27" i="9"/>
  <c r="H30" i="9"/>
  <c r="D24" i="9"/>
  <c r="G24" i="9"/>
  <c r="D29" i="9"/>
  <c r="O31" i="9"/>
  <c r="M30" i="9"/>
  <c r="N30" i="9"/>
  <c r="M33" i="9"/>
  <c r="L33" i="9"/>
  <c r="N27" i="9"/>
  <c r="M27" i="9"/>
  <c r="D27" i="9"/>
  <c r="H27" i="9"/>
  <c r="O27" i="9"/>
  <c r="I27" i="9"/>
  <c r="N29" i="9"/>
  <c r="H29" i="9"/>
  <c r="G29" i="9"/>
  <c r="K29" i="9"/>
  <c r="M29" i="9"/>
  <c r="O29" i="9"/>
  <c r="F29" i="9"/>
  <c r="I29" i="9"/>
  <c r="L26" i="9"/>
  <c r="M26" i="9"/>
  <c r="K26" i="9"/>
  <c r="O26" i="9"/>
  <c r="I26" i="9"/>
  <c r="G26" i="9"/>
  <c r="H28" i="9"/>
  <c r="I28" i="9"/>
  <c r="L28" i="9"/>
  <c r="O28" i="9"/>
  <c r="G31" i="9"/>
  <c r="F31" i="9"/>
  <c r="K31" i="9"/>
  <c r="I31" i="9"/>
  <c r="L31" i="9"/>
  <c r="D31" i="9"/>
  <c r="H31" i="9"/>
  <c r="M31" i="9"/>
  <c r="E43" i="9" l="1"/>
  <c r="E42" i="9"/>
  <c r="E40" i="9"/>
  <c r="E38" i="9"/>
  <c r="E44" i="9"/>
  <c r="E45" i="9"/>
  <c r="E39" i="9"/>
  <c r="E37" i="9"/>
  <c r="E41" i="9"/>
  <c r="E28" i="9"/>
  <c r="J28" i="9"/>
  <c r="E32" i="9"/>
  <c r="J32" i="9"/>
  <c r="E30" i="9"/>
  <c r="J30" i="9"/>
  <c r="E31" i="9"/>
  <c r="J31" i="9"/>
  <c r="E24" i="9"/>
  <c r="J24" i="9"/>
  <c r="J29" i="9"/>
  <c r="E29" i="9"/>
  <c r="E27" i="9"/>
  <c r="J27" i="9"/>
  <c r="F45" i="9" a="1"/>
  <c r="D25" i="9"/>
  <c r="D33" i="9"/>
  <c r="F38" i="9" a="1"/>
  <c r="F41" i="9" a="1"/>
  <c r="M24" i="9"/>
  <c r="F28" i="9"/>
  <c r="F37" i="9" a="1"/>
  <c r="F44" i="9" a="1"/>
  <c r="D26" i="9"/>
  <c r="G30" i="9"/>
  <c r="F42" i="9" a="1"/>
  <c r="F39" i="9" a="1"/>
  <c r="F25" i="9"/>
  <c r="G27" i="9"/>
  <c r="F43" i="9" a="1"/>
  <c r="F40" i="9" a="1"/>
  <c r="F36" i="9" a="1"/>
  <c r="F36" i="9" l="1"/>
  <c r="G36" i="9" s="1"/>
  <c r="F44" i="9"/>
  <c r="G44" i="9" s="1"/>
  <c r="F40" i="9"/>
  <c r="G40" i="9" s="1"/>
  <c r="F45" i="9"/>
  <c r="G45" i="9" s="1"/>
  <c r="J33" i="9"/>
  <c r="E33" i="9"/>
  <c r="F41" i="9"/>
  <c r="G41" i="9" s="1"/>
  <c r="F42" i="9"/>
  <c r="G42" i="9" s="1"/>
  <c r="F38" i="9"/>
  <c r="G38" i="9" s="1"/>
  <c r="F37" i="9"/>
  <c r="G37" i="9" s="1"/>
  <c r="F43" i="9"/>
  <c r="G43" i="9" s="1"/>
  <c r="F39" i="9"/>
  <c r="G39" i="9" s="1"/>
  <c r="J25" i="9"/>
  <c r="E25" i="9"/>
  <c r="E26" i="9"/>
  <c r="J26" i="9"/>
  <c r="B5" i="9"/>
  <c r="B6" i="9" s="1"/>
  <c r="B7" i="9" s="1"/>
  <c r="B8" i="9" s="1"/>
  <c r="B9" i="9" s="1"/>
  <c r="B10" i="9" s="1"/>
  <c r="B11" i="9" s="1"/>
  <c r="B14" i="9"/>
  <c r="B15" i="9"/>
  <c r="B16" i="9" s="1"/>
  <c r="B17" i="9" s="1"/>
  <c r="B18" i="9" s="1"/>
  <c r="B19" i="9" s="1"/>
  <c r="B20" i="9" s="1"/>
  <c r="N17" i="9"/>
  <c r="K13" i="9"/>
  <c r="O13" i="9"/>
  <c r="K21" i="9"/>
  <c r="D13" i="9"/>
  <c r="M4" i="9"/>
  <c r="I21" i="9"/>
  <c r="G4" i="9"/>
  <c r="C7" i="9"/>
  <c r="K4" i="9"/>
  <c r="G13" i="9"/>
  <c r="I13" i="9"/>
  <c r="O4" i="9"/>
  <c r="H20" i="9"/>
  <c r="F7" i="9"/>
  <c r="H13" i="9"/>
  <c r="H17" i="9"/>
  <c r="C15" i="9"/>
  <c r="O15" i="9"/>
  <c r="K20" i="9"/>
  <c r="M20" i="9"/>
  <c r="K17" i="9"/>
  <c r="F17" i="9"/>
  <c r="F20" i="9"/>
  <c r="F15" i="9"/>
  <c r="M15" i="9"/>
  <c r="N20" i="9"/>
  <c r="C8" i="9"/>
  <c r="G20" i="9"/>
  <c r="C10" i="9"/>
  <c r="O10" i="9"/>
  <c r="H10" i="9"/>
  <c r="C5" i="9"/>
  <c r="L10" i="9"/>
  <c r="O5" i="9"/>
  <c r="F13" i="9"/>
  <c r="M21" i="9"/>
  <c r="C19" i="9"/>
  <c r="N19" i="9"/>
  <c r="N4" i="9"/>
  <c r="C9" i="9"/>
  <c r="H9" i="9" s="1"/>
  <c r="I4" i="9"/>
  <c r="D21" i="9"/>
  <c r="O20" i="9"/>
  <c r="K9" i="9"/>
  <c r="F4" i="9"/>
  <c r="L7" i="9"/>
  <c r="M10" i="9"/>
  <c r="G5" i="9"/>
  <c r="N7" i="9"/>
  <c r="N15" i="9"/>
  <c r="O17" i="9"/>
  <c r="C16" i="9"/>
  <c r="M9" i="9"/>
  <c r="L17" i="9"/>
  <c r="H4" i="9"/>
  <c r="G16" i="9"/>
  <c r="H7" i="9"/>
  <c r="I17" i="9"/>
  <c r="M17" i="9"/>
  <c r="I9" i="9"/>
  <c r="L5" i="9"/>
  <c r="M7" i="9"/>
  <c r="N13" i="9"/>
  <c r="C22" i="9"/>
  <c r="F19" i="9"/>
  <c r="G19" i="9"/>
  <c r="K19" i="9"/>
  <c r="G21" i="9"/>
  <c r="M13" i="9"/>
  <c r="O9" i="9"/>
  <c r="L20" i="9"/>
  <c r="C6" i="9"/>
  <c r="D10" i="9"/>
  <c r="K22" i="9"/>
  <c r="C14" i="9"/>
  <c r="I20" i="9"/>
  <c r="O6" i="9"/>
  <c r="L9" i="9"/>
  <c r="G14" i="9"/>
  <c r="I7" i="9"/>
  <c r="D15" i="9"/>
  <c r="D17" i="9"/>
  <c r="H8" i="9"/>
  <c r="G17" i="9"/>
  <c r="L21" i="9"/>
  <c r="M8" i="9"/>
  <c r="G9" i="9"/>
  <c r="F22" i="9"/>
  <c r="I8" i="9"/>
  <c r="I14" i="9"/>
  <c r="O7" i="9"/>
  <c r="K15" i="9"/>
  <c r="H21" i="9"/>
  <c r="H19" i="9"/>
  <c r="D4" i="9"/>
  <c r="C11" i="9"/>
  <c r="L13" i="9"/>
  <c r="C18" i="9"/>
  <c r="I19" i="9"/>
  <c r="L4" i="9"/>
  <c r="F21" i="9"/>
  <c r="F9" i="9"/>
  <c r="D20" i="9"/>
  <c r="L18" i="9"/>
  <c r="D8" i="9"/>
  <c r="K14" i="9"/>
  <c r="N11" i="9"/>
  <c r="M22" i="9"/>
  <c r="O8" i="9"/>
  <c r="L6" i="9"/>
  <c r="H14" i="9"/>
  <c r="G15" i="9"/>
  <c r="O16" i="9"/>
  <c r="M16" i="9"/>
  <c r="D19" i="9"/>
  <c r="F11" i="9"/>
  <c r="N6" i="9"/>
  <c r="I15" i="9"/>
  <c r="L15" i="9"/>
  <c r="H15" i="9"/>
  <c r="G8" i="9"/>
  <c r="F8" i="9"/>
  <c r="K8" i="9"/>
  <c r="K10" i="9"/>
  <c r="F10" i="9"/>
  <c r="I10" i="9"/>
  <c r="G10" i="9"/>
  <c r="N10" i="9"/>
  <c r="I5" i="9"/>
  <c r="N5" i="9"/>
  <c r="K5" i="9"/>
  <c r="M5" i="9"/>
  <c r="H5" i="9"/>
  <c r="D5" i="9"/>
  <c r="L19" i="9"/>
  <c r="M19" i="9"/>
  <c r="O19" i="9"/>
  <c r="K16" i="9"/>
  <c r="L16" i="9"/>
  <c r="N16" i="9"/>
  <c r="I16" i="9"/>
  <c r="H16" i="9"/>
  <c r="F16" i="9"/>
  <c r="H22" i="9"/>
  <c r="L22" i="9"/>
  <c r="I22" i="9"/>
  <c r="G22" i="9"/>
  <c r="H6" i="9"/>
  <c r="K6" i="9"/>
  <c r="M6" i="9"/>
  <c r="G6" i="9"/>
  <c r="F6" i="9"/>
  <c r="I6" i="9"/>
  <c r="N14" i="9"/>
  <c r="D14" i="9"/>
  <c r="M14" i="9"/>
  <c r="F14" i="9"/>
  <c r="D11" i="9"/>
  <c r="L11" i="9"/>
  <c r="K11" i="9"/>
  <c r="G11" i="9"/>
  <c r="O11" i="9"/>
  <c r="M11" i="9"/>
  <c r="I11" i="9"/>
  <c r="H11" i="9"/>
  <c r="O18" i="9"/>
  <c r="F18" i="9"/>
  <c r="I18" i="9"/>
  <c r="D18" i="9"/>
  <c r="M18" i="9"/>
  <c r="N18" i="9"/>
  <c r="K18" i="9"/>
  <c r="H18" i="9"/>
  <c r="J4" i="9" l="1"/>
  <c r="J11" i="9"/>
  <c r="J5" i="9"/>
  <c r="J10" i="9"/>
  <c r="J8" i="9"/>
  <c r="J20" i="9"/>
  <c r="J21" i="9"/>
  <c r="J18" i="9"/>
  <c r="J13" i="9"/>
  <c r="J19" i="9"/>
  <c r="J17" i="9"/>
  <c r="J15" i="9"/>
  <c r="J14" i="9"/>
  <c r="E11" i="9"/>
  <c r="E8" i="9"/>
  <c r="E10" i="9"/>
  <c r="E4" i="9"/>
  <c r="E19" i="9"/>
  <c r="E21" i="9"/>
  <c r="E18" i="9"/>
  <c r="E13" i="9"/>
  <c r="E17" i="9"/>
  <c r="E20" i="9"/>
  <c r="E15" i="9"/>
  <c r="E14" i="9"/>
  <c r="E5" i="9"/>
  <c r="D6" i="9"/>
  <c r="D16" i="9"/>
  <c r="G7" i="9"/>
  <c r="D7" i="9"/>
  <c r="D22" i="9"/>
  <c r="D9" i="9"/>
  <c r="L8" i="9"/>
  <c r="N8" i="9"/>
  <c r="K7" i="9"/>
  <c r="N9" i="9"/>
  <c r="G18" i="9"/>
  <c r="O14" i="9"/>
  <c r="L14" i="9"/>
  <c r="F5" i="9"/>
  <c r="J16" i="9" l="1"/>
  <c r="E16" i="9"/>
  <c r="J6" i="9"/>
  <c r="E6" i="9"/>
  <c r="J22" i="9"/>
  <c r="E22" i="9"/>
  <c r="J7" i="9"/>
  <c r="J9" i="9"/>
  <c r="E7" i="9"/>
  <c r="E9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<sst xmlns="http://schemas.openxmlformats.org/spreadsheetml/2006/main" count="232" uniqueCount="212">
  <si>
    <t>usd</t>
  </si>
  <si>
    <t>snapshotPriceZrs</t>
  </si>
  <si>
    <t>snapshotPriceLrs</t>
  </si>
  <si>
    <t>snapshotPrice</t>
  </si>
  <si>
    <t>transactionPrice</t>
  </si>
  <si>
    <t>speed</t>
  </si>
  <si>
    <t>iops</t>
  </si>
  <si>
    <t>size</t>
  </si>
  <si>
    <t>isPreview</t>
  </si>
  <si>
    <t>displayName</t>
  </si>
  <si>
    <t>Price / Month</t>
  </si>
  <si>
    <t>Recommended Product</t>
  </si>
  <si>
    <t>Source Disk Size</t>
  </si>
  <si>
    <t>Price / GB</t>
  </si>
  <si>
    <t>Cost / iops</t>
  </si>
  <si>
    <t>standardssd</t>
  </si>
  <si>
    <t>IOPS</t>
  </si>
  <si>
    <t>Size</t>
  </si>
  <si>
    <t>us-east</t>
  </si>
  <si>
    <t>ultrassd</t>
  </si>
  <si>
    <t>Throughput mb/s</t>
  </si>
  <si>
    <t>Suggested USSD</t>
  </si>
  <si>
    <t>Price / Hour</t>
  </si>
  <si>
    <t>ssd</t>
  </si>
  <si>
    <t>Utilization</t>
  </si>
  <si>
    <t>Currency</t>
  </si>
  <si>
    <t>us-west-2</t>
  </si>
  <si>
    <t>Region</t>
  </si>
  <si>
    <t>Reserved Instance</t>
  </si>
  <si>
    <t>VM Ram</t>
  </si>
  <si>
    <t>VM Cores</t>
  </si>
  <si>
    <t>Savings from RI Y3</t>
  </si>
  <si>
    <t>Linux Cost/Month RI 3Y</t>
  </si>
  <si>
    <t>Eqivalent Windows VM</t>
  </si>
  <si>
    <t>Cost / month</t>
  </si>
  <si>
    <t>Eqivalent Linux VM</t>
  </si>
  <si>
    <t>Disk Size</t>
  </si>
  <si>
    <t>Count</t>
  </si>
  <si>
    <t>Ram</t>
  </si>
  <si>
    <t>Cores</t>
  </si>
  <si>
    <t>Name</t>
  </si>
  <si>
    <t>Exclude Keywords</t>
  </si>
  <si>
    <t>lowpriority</t>
  </si>
  <si>
    <t>usgov-virginia</t>
  </si>
  <si>
    <t>usgov-texas</t>
  </si>
  <si>
    <t>usgov-arizona</t>
  </si>
  <si>
    <t>us-west</t>
  </si>
  <si>
    <t>Preview Prices</t>
  </si>
  <si>
    <t>us-west-central</t>
  </si>
  <si>
    <t>us-south-central</t>
  </si>
  <si>
    <t>Price pr snapshot ZRS</t>
  </si>
  <si>
    <t>us-north-central</t>
  </si>
  <si>
    <t>Price pr snapshot LRS</t>
  </si>
  <si>
    <t>us-east-2</t>
  </si>
  <si>
    <t>Price pr snapshot</t>
  </si>
  <si>
    <t>Price of transactions (check unit in the calculator</t>
  </si>
  <si>
    <t>us-central</t>
  </si>
  <si>
    <t>Provisioned IOPS (Premium only)</t>
  </si>
  <si>
    <t>united-kingdom-west</t>
  </si>
  <si>
    <t>Speed of the disk in mb/s (only premium disks)</t>
  </si>
  <si>
    <t>united-kingdom-south</t>
  </si>
  <si>
    <t>Size of the disk in GB</t>
  </si>
  <si>
    <t>korea-south</t>
  </si>
  <si>
    <t>Managed Disk Data Keywords</t>
  </si>
  <si>
    <t>korea-central</t>
  </si>
  <si>
    <t>japan-west</t>
  </si>
  <si>
    <t>"=getMDiskData(&lt;Managed Disk Name&gt;;&lt;Azure Region&gt;;&lt;Currency ID&gt;;&lt;mDisk Data Keyword&gt;)"</t>
  </si>
  <si>
    <t>japan-east</t>
  </si>
  <si>
    <t>"=getManagedDiskPriceMonth(&lt;Managed Disk Name&gt;;&lt;Azure Region&gt;;&lt;Currency ID&gt;)"</t>
  </si>
  <si>
    <t>germany-northeast</t>
  </si>
  <si>
    <t>"=getManagedDisk(&lt;Minimum Size in GB&gt;;&lt;Azure Region&gt;;&lt;Currency ID&gt;)"</t>
  </si>
  <si>
    <t>germany-central</t>
  </si>
  <si>
    <t>Managed Disks</t>
  </si>
  <si>
    <t>france-south</t>
  </si>
  <si>
    <t>france-central</t>
  </si>
  <si>
    <t>europe-west</t>
  </si>
  <si>
    <t>europe-north</t>
  </si>
  <si>
    <t>Indicates if a VM has vCPU</t>
  </si>
  <si>
    <t>isVcpu</t>
  </si>
  <si>
    <t>west-india</t>
  </si>
  <si>
    <t>Size of the temp drive in GB</t>
  </si>
  <si>
    <t>diskSize</t>
  </si>
  <si>
    <t>south-india</t>
  </si>
  <si>
    <t>Memory in GB</t>
  </si>
  <si>
    <t>ram</t>
  </si>
  <si>
    <t>central-india</t>
  </si>
  <si>
    <t>Number of Cores</t>
  </si>
  <si>
    <t>cores</t>
  </si>
  <si>
    <t>DKK</t>
  </si>
  <si>
    <t>canada-east</t>
  </si>
  <si>
    <t>VM Data Keybords</t>
  </si>
  <si>
    <t>JPY</t>
  </si>
  <si>
    <t>canada-central</t>
  </si>
  <si>
    <t>CAD</t>
  </si>
  <si>
    <t>brazil-south</t>
  </si>
  <si>
    <t>"=getVMData(&lt;VM Name&gt;;&lt;Azure Region&gt;;&lt;CurrencyID&gt;;&lt;VM Data Keyword&gt;)"</t>
  </si>
  <si>
    <t>HKD</t>
  </si>
  <si>
    <t>australia-southeast</t>
  </si>
  <si>
    <t>"=getVMPriceHour(&lt;VM Name&gt;;&lt;Reserved instance Years&gt;;&lt;Azure Reguion&gt;;&lt;CurrencyID&gt;)"</t>
  </si>
  <si>
    <t>USD</t>
  </si>
  <si>
    <t>australia-east</t>
  </si>
  <si>
    <t>"=getVM(&lt;minCores&gt;;&lt;minRam&gt;;&lt;Reserved Instance Years&gt;;&lt;Azure Region&gt;;&lt;CurrencyID&gt;;[&lt;Exclude Keywords seperated by ; &gt;;&lt;Include Keywords seperated by ;])"</t>
  </si>
  <si>
    <t>GBP</t>
  </si>
  <si>
    <t>australia-central-2</t>
  </si>
  <si>
    <t>VM</t>
  </si>
  <si>
    <t>EUR</t>
  </si>
  <si>
    <t>australia-central</t>
  </si>
  <si>
    <t>Commands (Enter without the outer quotes)</t>
  </si>
  <si>
    <t>AUD</t>
  </si>
  <si>
    <t>asia-pacific-southeast</t>
  </si>
  <si>
    <t>NZD</t>
  </si>
  <si>
    <t>asia-pacific-east</t>
  </si>
  <si>
    <t>CurrencyID</t>
  </si>
  <si>
    <t>Regions</t>
  </si>
  <si>
    <r>
      <t xml:space="preserve">Get Formular Help by pressing the </t>
    </r>
    <r>
      <rPr>
        <b/>
        <i/>
        <sz val="18"/>
        <color theme="1"/>
        <rFont val="Calibri"/>
        <family val="2"/>
        <scheme val="minor"/>
      </rPr>
      <t>f</t>
    </r>
    <r>
      <rPr>
        <b/>
        <i/>
        <vertAlign val="subscript"/>
        <sz val="18"/>
        <color theme="1"/>
        <rFont val="Calibri"/>
        <family val="2"/>
        <scheme val="minor"/>
      </rPr>
      <t>x</t>
    </r>
  </si>
  <si>
    <t>Do not use personal or sensitive information in ExcelAzure</t>
  </si>
  <si>
    <t>This tool can produce incorrect pricing, and does not ensure that product, service and or discount combinations are valid, and that all products required to use a particular service.</t>
  </si>
  <si>
    <t>Use this tool on your own risk. All prices are indicative only. This tool produces summary estimates, not pricequotes. Data is based on the Azure Calculator  https://azure.microsoft.com/pricing/calculator/</t>
  </si>
  <si>
    <t xml:space="preserve">https://github.com/KillerFeature/excelAzure </t>
  </si>
  <si>
    <t>Star the project on Github</t>
  </si>
  <si>
    <t>http://aka.ms/excelazure</t>
  </si>
  <si>
    <t>Always download the latest version at :</t>
  </si>
  <si>
    <t>Version</t>
  </si>
  <si>
    <t>Session ID</t>
  </si>
  <si>
    <t>Added support for reserved instance quotes</t>
  </si>
  <si>
    <t>Initial Release support for VM quoting</t>
  </si>
  <si>
    <t>Version 0.1</t>
  </si>
  <si>
    <t>Added support for managed disks</t>
  </si>
  <si>
    <t>Version 0.2</t>
  </si>
  <si>
    <t>15/5/2018</t>
  </si>
  <si>
    <t>Support for extracting specs on managed disks</t>
  </si>
  <si>
    <t>Support for extracting specs on VMs</t>
  </si>
  <si>
    <t>Version 0.3</t>
  </si>
  <si>
    <t>25/6/2018</t>
  </si>
  <si>
    <t>Added support for excluding preview products from searches</t>
  </si>
  <si>
    <t>Added support for identifying preview products and doubling their prices</t>
  </si>
  <si>
    <t>Version 0.4</t>
  </si>
  <si>
    <t>Added analytics support</t>
  </si>
  <si>
    <t>Fixed include keyword search not working with multiple keywords</t>
  </si>
  <si>
    <t>Added Support for Azure CLI style region parameters</t>
  </si>
  <si>
    <t>Added Support for Historic Data for Managed Disks</t>
  </si>
  <si>
    <t>Added Support for Historic Data for VMs</t>
  </si>
  <si>
    <t>Fixed support for redlining preview and promo VM's</t>
  </si>
  <si>
    <t>Version 0.5</t>
  </si>
  <si>
    <t>Fixed Region stats</t>
  </si>
  <si>
    <t>Fixed Pricemonitoring</t>
  </si>
  <si>
    <t>Version 0.5.0.6</t>
  </si>
  <si>
    <r>
      <t xml:space="preserve">Now marking SAP HANA Large Instances with </t>
    </r>
    <r>
      <rPr>
        <sz val="11"/>
        <color rgb="FFFF0000"/>
        <rFont val="Calibri"/>
        <family val="2"/>
        <scheme val="minor"/>
      </rPr>
      <t>RED</t>
    </r>
  </si>
  <si>
    <t>Version 0.5.0.7</t>
  </si>
  <si>
    <t>nv</t>
  </si>
  <si>
    <t>Cheapest -n VM with 24cores</t>
  </si>
  <si>
    <t>nc</t>
  </si>
  <si>
    <t>nd</t>
  </si>
  <si>
    <t>l</t>
  </si>
  <si>
    <t>h</t>
  </si>
  <si>
    <t>f</t>
  </si>
  <si>
    <t>e</t>
  </si>
  <si>
    <t>a</t>
  </si>
  <si>
    <t>RI</t>
  </si>
  <si>
    <t>Include</t>
  </si>
  <si>
    <t>Mem</t>
  </si>
  <si>
    <t>Custom RI</t>
  </si>
  <si>
    <t>Price Change in %</t>
  </si>
  <si>
    <t>Date</t>
  </si>
  <si>
    <t>CHF</t>
  </si>
  <si>
    <t>ARS</t>
  </si>
  <si>
    <t>IDR</t>
  </si>
  <si>
    <t>KRW</t>
  </si>
  <si>
    <t>NOK</t>
  </si>
  <si>
    <t>RUB</t>
  </si>
  <si>
    <t>SAR</t>
  </si>
  <si>
    <t>ZAR</t>
  </si>
  <si>
    <t>SEK</t>
  </si>
  <si>
    <t>TWD</t>
  </si>
  <si>
    <t>TRY</t>
  </si>
  <si>
    <t>MXN</t>
  </si>
  <si>
    <t>MYR</t>
  </si>
  <si>
    <t>INR</t>
  </si>
  <si>
    <t>BRL</t>
  </si>
  <si>
    <t>standard</t>
  </si>
  <si>
    <t>120</t>
  </si>
  <si>
    <t>25</t>
  </si>
  <si>
    <t>240</t>
  </si>
  <si>
    <t>50</t>
  </si>
  <si>
    <t>500</t>
  </si>
  <si>
    <t>100</t>
  </si>
  <si>
    <t>1100</t>
  </si>
  <si>
    <t>125</t>
  </si>
  <si>
    <t>2300</t>
  </si>
  <si>
    <t>150</t>
  </si>
  <si>
    <t>5000</t>
  </si>
  <si>
    <t>200</t>
  </si>
  <si>
    <t>7500</t>
  </si>
  <si>
    <t>250</t>
  </si>
  <si>
    <t>18000</t>
  </si>
  <si>
    <t>750</t>
  </si>
  <si>
    <t>20000</t>
  </si>
  <si>
    <t>900</t>
  </si>
  <si>
    <t>Added support for USSD</t>
  </si>
  <si>
    <t>Added support for lowpriority VM's</t>
  </si>
  <si>
    <t>Version 0.6.0.0B</t>
  </si>
  <si>
    <t>Added drop-downs for Currency and Region selection in "VM List"</t>
  </si>
  <si>
    <t>Include Keywords</t>
  </si>
  <si>
    <t>south-africa-north</t>
  </si>
  <si>
    <t>south-africa-west</t>
  </si>
  <si>
    <t>Added South African Datacenters to dropdown</t>
  </si>
  <si>
    <t>usgov-iowa</t>
  </si>
  <si>
    <t>uae-central</t>
  </si>
  <si>
    <t>uae-north</t>
  </si>
  <si>
    <t>norway-west</t>
  </si>
  <si>
    <t>norway-east</t>
  </si>
  <si>
    <t>Added Norwegian Regions to dropdown and backend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</si>
</sst>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kr.&quot;_-;\-* #,##0.00\ &quot;kr.&quot;_-;_-* &quot;-&quot;??\ &quot;kr.&quot;_-;_-@_-"/>
    <numFmt numFmtId="164" formatCode="_(&quot;$&quot;* #,##0.00_);_(&quot;$&quot;* \(#,##0.00\);_(&quot;$&quot;* &quot;-&quot;??_);_(@_)"/>
    <numFmt numFmtId="165" formatCode="_-* #,##0.00\ [$kr.-406]_-;\-* #,##0.00\ [$kr.-406]_-;_-* &quot;-&quot;??\ [$kr.-406]_-;_-@_-"/>
    <numFmt numFmtId="166" formatCode="0.000000000"/>
    <numFmt numFmtId="167" formatCode="0.000%"/>
    <numFmt numFmtId="168" formatCode="_(&quot;$&quot;* #,##0.000000_);_(&quot;$&quot;* \(#,##0.000000\);_(&quot;$&quot;* &quot;-&quot;??_);_(@_)"/>
  </numFmts>
  <fonts count="20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rgb="FF000000"/>
      <name val="Consolas"/>
      <family val="3"/>
    </font>
    <font>
      <sz val="11"/>
      <name val="Calibri"/>
      <family val="2"/>
    </font>
    <font>
      <sz val="11"/>
      <color rgb="FFFF0000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rgb="FF000000"/>
      <name val="Arial Unicode MS"/>
    </font>
    <font>
      <b/>
      <sz val="16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vertAlign val="subscript"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9"/>
      <color indexed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44" fontId="3" fillId="0" borderId="0" applyFont="0" applyFill="0" applyBorder="0" applyAlignment="0" applyProtection="0"/>
    <xf numFmtId="0" fontId="6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0" fontId="0" fillId="0" borderId="0" xfId="0"/>
    <xf numFmtId="0" fontId="4" fillId="0" borderId="0" xfId="0" quotePrefix="1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4" fillId="0" borderId="0" xfId="0" applyFont="1"/>
    <xf numFmtId="44" fontId="4" fillId="0" borderId="0" xfId="1" applyFont="1"/>
    <xf numFmtId="165" fontId="4" fillId="0" borderId="0" xfId="0" applyNumberFormat="1" applyFont="1"/>
    <xf numFmtId="9" fontId="4" fillId="0" borderId="0" xfId="4" applyFont="1"/>
    <xf numFmtId="0" fontId="8" fillId="0" borderId="0" xfId="0" applyFont="1"/>
    <xf numFmtId="165" fontId="4" fillId="0" borderId="0" xfId="4" applyNumberFormat="1" applyFont="1"/>
    <xf numFmtId="0" fontId="4" fillId="0" borderId="0" xfId="1" applyNumberFormat="1" applyFont="1"/>
    <xf numFmtId="0" fontId="8" fillId="0" borderId="0" xfId="1" applyNumberFormat="1" applyFont="1"/>
    <xf numFmtId="0" fontId="9" fillId="0" borderId="0" xfId="0" applyFont="1"/>
    <xf numFmtId="44" fontId="9" fillId="0" borderId="0" xfId="1" applyFont="1"/>
    <xf numFmtId="0" fontId="10" fillId="0" borderId="0" xfId="0" applyFont="1"/>
    <xf numFmtId="0" fontId="11" fillId="0" borderId="0" xfId="0" applyFont="1" applyAlignment="1">
      <alignment vertical="center"/>
    </xf>
    <xf numFmtId="0" fontId="12" fillId="0" borderId="0" xfId="0" applyFont="1"/>
    <xf numFmtId="0" fontId="15" fillId="0" borderId="0" xfId="5"/>
    <xf numFmtId="14" fontId="0" fillId="0" borderId="0" xfId="0" applyNumberFormat="1" applyAlignment="1">
      <alignment horizontal="right"/>
    </xf>
    <xf numFmtId="14" fontId="0" fillId="0" borderId="0" xfId="0" applyNumberFormat="1"/>
    <xf numFmtId="0" fontId="16" fillId="0" borderId="0" xfId="0" applyFont="1"/>
    <xf numFmtId="166" fontId="0" fillId="0" borderId="0" xfId="0" applyNumberFormat="1"/>
    <xf numFmtId="167" fontId="0" fillId="0" borderId="0" xfId="4" applyNumberFormat="1" applyFont="1"/>
    <xf numFmtId="9" fontId="17" fillId="0" borderId="0" xfId="4" applyFont="1"/>
    <xf numFmtId="168" fontId="1" fillId="0" borderId="0" xfId="3" applyNumberFormat="1" applyFont="1"/>
    <xf numFmtId="168" fontId="17" fillId="0" borderId="0" xfId="3" applyNumberFormat="1" applyFont="1"/>
    <xf numFmtId="0" fontId="18" fillId="0" borderId="0" xfId="0" applyFont="1"/>
    <xf numFmtId="0" fontId="0" fillId="0" borderId="0" xfId="0" quotePrefix="1"/>
    <xf numFmtId="168" fontId="16" fillId="0" borderId="0" xfId="3" applyNumberFormat="1" applyFont="1"/>
    <xf numFmtId="0" fontId="17" fillId="0" borderId="0" xfId="0" applyFont="1"/>
    <xf numFmtId="14" fontId="2" fillId="0" borderId="0" xfId="0" applyNumberFormat="1" applyFont="1"/>
    <xf numFmtId="0" fontId="0" fillId="0" borderId="0" xfId="0"/>
    <xf numFmtId="0" fontId="0" fillId="0" borderId="0" xfId="0"/>
    <xf numFmtId="0" fontId="19" fillId="0" borderId="0" xfId="0" applyFont="1"/>
    <xf numFmtId="0" fontId="19" fillId="0" borderId="0" xfId="1" applyNumberFormat="1" applyFont="1"/>
  </cellXfs>
  <cellStyles count="6">
    <cellStyle name="Currency 2" xfId="1" xr:uid="{7182C05B-BAC7-43C7-BDC0-3A744412016E}"/>
    <cellStyle name="Currency 2 2" xfId="3" xr:uid="{C5925F89-523C-4693-83DD-4522513F6AC1}"/>
    <cellStyle name="Hyperlink" xfId="5" builtinId="8"/>
    <cellStyle name="Normal" xfId="0" builtinId="0"/>
    <cellStyle name="Normal 2" xfId="2" xr:uid="{AE35D697-8C93-4C55-8200-1C5B874E1A30}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387804</xdr:colOff>
      <xdr:row>9</xdr:row>
      <xdr:rowOff>81643</xdr:rowOff>
    </xdr:from>
    <xdr:to>
      <xdr:col>5</xdr:col>
      <xdr:colOff>326572</xdr:colOff>
      <xdr:row>12</xdr:row>
      <xdr:rowOff>74839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660C6D-2A60-48CF-9732-8B7A83209D37}"/>
            </a:ext>
          </a:extLst>
        </xdr:cNvPr>
        <xdr:cNvSpPr txBox="1"/>
      </xdr:nvSpPr>
      <xdr:spPr>
        <a:xfrm>
          <a:off x="1610179" y="1713593"/>
          <a:ext cx="1764393" cy="5329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1: Use</a:t>
          </a:r>
          <a:r>
            <a:rPr lang="en-US" sz="800" b="1" baseline="0">
              <a:solidFill>
                <a:srgbClr val="FF0000"/>
              </a:solidFill>
            </a:rPr>
            <a:t> an onprem inventory list with core and ram in seperate columns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312965</xdr:colOff>
      <xdr:row>13</xdr:row>
      <xdr:rowOff>61232</xdr:rowOff>
    </xdr:from>
    <xdr:to>
      <xdr:col>8</xdr:col>
      <xdr:colOff>167368</xdr:colOff>
      <xdr:row>15</xdr:row>
      <xdr:rowOff>119741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A044F93-A842-41FE-A789-408F8B972CBF}"/>
            </a:ext>
          </a:extLst>
        </xdr:cNvPr>
        <xdr:cNvSpPr txBox="1"/>
      </xdr:nvSpPr>
      <xdr:spPr>
        <a:xfrm>
          <a:off x="3973740" y="2417082"/>
          <a:ext cx="1067253" cy="4204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2 : Use getVM() function to find a suitable VM</a:t>
          </a:r>
        </a:p>
      </xdr:txBody>
    </xdr:sp>
    <xdr:clientData/>
  </xdr:twoCellAnchor>
  <xdr:twoCellAnchor>
    <xdr:from>
      <xdr:col>7</xdr:col>
      <xdr:colOff>938893</xdr:colOff>
      <xdr:row>17</xdr:row>
      <xdr:rowOff>27214</xdr:rowOff>
    </xdr:from>
    <xdr:to>
      <xdr:col>9</xdr:col>
      <xdr:colOff>293914</xdr:colOff>
      <xdr:row>19</xdr:row>
      <xdr:rowOff>85724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70C3D5B-9DF9-4A38-B574-D390D4E7CBE9}"/>
            </a:ext>
          </a:extLst>
        </xdr:cNvPr>
        <xdr:cNvSpPr txBox="1"/>
      </xdr:nvSpPr>
      <xdr:spPr>
        <a:xfrm>
          <a:off x="4875893" y="3106964"/>
          <a:ext cx="907596" cy="4204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3 : Find the cost/hour</a:t>
          </a:r>
          <a:r>
            <a:rPr lang="en-US" sz="800" b="1" baseline="0">
              <a:solidFill>
                <a:srgbClr val="FF0000"/>
              </a:solidFill>
            </a:rPr>
            <a:t> by using getVMPriceHour()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125639</xdr:rowOff>
    </xdr:from>
    <xdr:to>
      <xdr:col>1</xdr:col>
      <xdr:colOff>541110</xdr:colOff>
      <xdr:row>15</xdr:row>
      <xdr:rowOff>74839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D6625EF5-EE30-4056-A8DB-4EE5B9BD8DC0}"/>
            </a:ext>
          </a:extLst>
        </xdr:cNvPr>
        <xdr:cNvSpPr/>
      </xdr:nvSpPr>
      <xdr:spPr>
        <a:xfrm>
          <a:off x="0" y="574675"/>
          <a:ext cx="1153431" cy="1745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260803</xdr:colOff>
      <xdr:row>13</xdr:row>
      <xdr:rowOff>76654</xdr:rowOff>
    </xdr:from>
    <xdr:to>
      <xdr:col>2</xdr:col>
      <xdr:colOff>1217384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1B58A6B-CD4E-4775-A848-F2A86F811506}"/>
            </a:ext>
          </a:extLst>
        </xdr:cNvPr>
        <xdr:cNvSpPr txBox="1"/>
      </xdr:nvSpPr>
      <xdr:spPr>
        <a:xfrm>
          <a:off x="873124" y="2022475"/>
          <a:ext cx="1568903" cy="6173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Use absolute</a:t>
          </a:r>
          <a:r>
            <a:rPr lang="en-US" sz="800" b="1" baseline="0">
              <a:solidFill>
                <a:srgbClr val="FF0000"/>
              </a:solidFill>
            </a:rPr>
            <a:t> cell references to keep reserved instances, region and currency in one place for easy editing</a:t>
          </a:r>
        </a:p>
        <a:p>
          <a:endParaRPr lang="en-US" sz="800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898072</xdr:colOff>
      <xdr:row>9</xdr:row>
      <xdr:rowOff>88446</xdr:rowOff>
    </xdr:from>
    <xdr:to>
      <xdr:col>12</xdr:col>
      <xdr:colOff>510267</xdr:colOff>
      <xdr:row>14</xdr:row>
      <xdr:rowOff>27214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C3879253-C051-42F4-8FBB-D0C82C29C152}"/>
            </a:ext>
          </a:extLst>
        </xdr:cNvPr>
        <xdr:cNvSpPr/>
      </xdr:nvSpPr>
      <xdr:spPr>
        <a:xfrm>
          <a:off x="6098722" y="1714046"/>
          <a:ext cx="1723570" cy="849993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404131</xdr:colOff>
      <xdr:row>14</xdr:row>
      <xdr:rowOff>16327</xdr:rowOff>
    </xdr:from>
    <xdr:to>
      <xdr:col>11</xdr:col>
      <xdr:colOff>880749</xdr:colOff>
      <xdr:row>19</xdr:row>
      <xdr:rowOff>105187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9993D09-688C-4783-8BC6-8FA605F834BD}"/>
            </a:ext>
          </a:extLst>
        </xdr:cNvPr>
        <xdr:cNvSpPr txBox="1"/>
      </xdr:nvSpPr>
      <xdr:spPr>
        <a:xfrm>
          <a:off x="6503306" y="2549977"/>
          <a:ext cx="809993" cy="990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The errors here are</a:t>
          </a:r>
          <a:r>
            <a:rPr lang="en-US" sz="800" b="1" baseline="0">
              <a:solidFill>
                <a:srgbClr val="FF0000"/>
              </a:solidFill>
            </a:rPr>
            <a:t> because the VM's cannot be reserved (A-series)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306615</xdr:colOff>
      <xdr:row>20</xdr:row>
      <xdr:rowOff>84834</xdr:rowOff>
    </xdr:from>
    <xdr:to>
      <xdr:col>3</xdr:col>
      <xdr:colOff>64860</xdr:colOff>
      <xdr:row>25</xdr:row>
      <xdr:rowOff>87340</xdr:rowOff>
    </xdr:to>
    <xdr:sp macro="" textlink="">
      <xdr:nvSpPr>
        <xdr:cNvPr id="9" name="Callout: Line 8">
          <a:extLst>
            <a:ext uri="{FF2B5EF4-FFF2-40B4-BE49-F238E27FC236}">
              <a16:creationId xmlns:a16="http://schemas.microsoft.com/office/drawing/2014/main" id="{38A1E68B-E631-4AE0-BDD2-34EB58EB8470}"/>
            </a:ext>
          </a:extLst>
        </xdr:cNvPr>
        <xdr:cNvSpPr/>
      </xdr:nvSpPr>
      <xdr:spPr>
        <a:xfrm>
          <a:off x="918936" y="3078405"/>
          <a:ext cx="1921781" cy="750899"/>
        </a:xfrm>
        <a:prstGeom prst="borderCallout1">
          <a:avLst>
            <a:gd name="adj1" fmla="val -1030"/>
            <a:gd name="adj2" fmla="val 20808"/>
            <a:gd name="adj3" fmla="val -123764"/>
            <a:gd name="adj4" fmla="val -19974"/>
          </a:avLst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You can now use ex/include</a:t>
          </a:r>
          <a:r>
            <a:rPr lang="en-US" sz="8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keywords to select low priority instances. You can use semi-colon ; to seperate multiple searches e.g. lowpriority;-b;-a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Remember that lowpriority can't be reserved, so set RI to 0 to get lowpriority</a:t>
          </a:r>
          <a:endParaRPr lang="en-US" sz="800">
            <a:solidFill>
              <a:srgbClr val="FF0000"/>
            </a:solidFill>
            <a:effectLst/>
          </a:endParaRPr>
        </a:p>
        <a:p>
          <a:pPr algn="l"/>
          <a:endParaRPr lang="en-US" sz="8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1638300</xdr:colOff>
      <xdr:row>1</xdr:row>
      <xdr:rowOff>123825</xdr:rowOff>
    </xdr:from>
    <xdr:ext cx="2409505" cy="495239"/>
    <xdr:pic>
      <xdr:nvPicPr>
        <xdr:cNvPr id="2" name="Picture 1">
          <a:extLst>
            <a:ext uri="{FF2B5EF4-FFF2-40B4-BE49-F238E27FC236}">
              <a16:creationId xmlns:a16="http://schemas.microsoft.com/office/drawing/2014/main" id="{D3A5484A-8339-4980-BE09-F32AF6041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0" y="301625"/>
          <a:ext cx="2409505" cy="495239"/>
        </a:xfrm>
        <a:prstGeom prst="rect">
          <a:avLst/>
        </a:prstGeom>
      </xdr:spPr>
    </xdr:pic>
    <xdr:clientData/>
  </xdr:oneCellAnchor>
  <xdr:oneCellAnchor>
    <xdr:from>
      <xdr:col>1</xdr:col>
      <xdr:colOff>104775</xdr:colOff>
      <xdr:row>35</xdr:row>
      <xdr:rowOff>19050</xdr:rowOff>
    </xdr:from>
    <xdr:ext cx="8600000" cy="2761905"/>
    <xdr:pic>
      <xdr:nvPicPr>
        <xdr:cNvPr id="3" name="Picture 2">
          <a:extLst>
            <a:ext uri="{FF2B5EF4-FFF2-40B4-BE49-F238E27FC236}">
              <a16:creationId xmlns:a16="http://schemas.microsoft.com/office/drawing/2014/main" id="{11479035-5BCA-4F52-A9C8-77F5BDCDC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1200" y="6353175"/>
          <a:ext cx="8600000" cy="276190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1800226</xdr:colOff>
      <xdr:row>41</xdr:row>
      <xdr:rowOff>133351</xdr:rowOff>
    </xdr:from>
    <xdr:to>
      <xdr:col>9</xdr:col>
      <xdr:colOff>276225</xdr:colOff>
      <xdr:row>48</xdr:row>
      <xdr:rowOff>19050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C24B2E1-AE72-4880-AE2E-CB479CE76385}"/>
            </a:ext>
          </a:extLst>
        </xdr:cNvPr>
        <xdr:cNvSpPr/>
      </xdr:nvSpPr>
      <xdr:spPr>
        <a:xfrm>
          <a:off x="3654426" y="7553326"/>
          <a:ext cx="2105024" cy="1152524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308640</xdr:colOff>
      <xdr:row>47</xdr:row>
      <xdr:rowOff>132094</xdr:rowOff>
    </xdr:from>
    <xdr:to>
      <xdr:col>6</xdr:col>
      <xdr:colOff>1357325</xdr:colOff>
      <xdr:row>52</xdr:row>
      <xdr:rowOff>169012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0F57ECE-8F4E-4BB0-B917-F4E0D2E7664C}"/>
            </a:ext>
          </a:extLst>
        </xdr:cNvPr>
        <xdr:cNvSpPr txBox="1"/>
      </xdr:nvSpPr>
      <xdr:spPr>
        <a:xfrm>
          <a:off x="3359815" y="8637919"/>
          <a:ext cx="905810" cy="9417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Note that</a:t>
          </a:r>
          <a:r>
            <a:rPr lang="en-US" sz="800" baseline="0"/>
            <a:t> products with a displayname containing the words "preview", "promo" or "offer" be automatically multiplied by 2. They will appear with red name and price as a warning of a preview pricing that might change. </a:t>
          </a:r>
        </a:p>
        <a:p>
          <a:r>
            <a:rPr lang="en-US" sz="800" baseline="0"/>
            <a:t>Usually the preview price is 50% of the GA price.</a:t>
          </a:r>
        </a:p>
        <a:p>
          <a:r>
            <a:rPr lang="en-US" sz="800" baseline="0"/>
            <a:t>Always doublecheck all prices with https://azure.microsoft.com/en-us/pricing/calculator/</a:t>
          </a:r>
        </a:p>
        <a:p>
          <a:endParaRPr lang="en-US" sz="800" baseline="0"/>
        </a:p>
        <a:p>
          <a:endParaRPr lang="en-US" sz="800" baseline="0"/>
        </a:p>
      </xdr:txBody>
    </xdr:sp>
    <xdr:clientData/>
  </xdr:twoCellAnchor>
  <xdr:twoCellAnchor>
    <xdr:from>
      <xdr:col>7</xdr:col>
      <xdr:colOff>638840</xdr:colOff>
      <xdr:row>47</xdr:row>
      <xdr:rowOff>93994</xdr:rowOff>
    </xdr:from>
    <xdr:to>
      <xdr:col>10</xdr:col>
      <xdr:colOff>154000</xdr:colOff>
      <xdr:row>52</xdr:row>
      <xdr:rowOff>130912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2BAE5BC-3B45-4F30-927B-83AFBCF80250}"/>
            </a:ext>
          </a:extLst>
        </xdr:cNvPr>
        <xdr:cNvSpPr txBox="1"/>
      </xdr:nvSpPr>
      <xdr:spPr>
        <a:xfrm>
          <a:off x="4874290" y="8599819"/>
          <a:ext cx="1375710" cy="9417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In the above example</a:t>
          </a:r>
          <a:r>
            <a:rPr lang="en-US" sz="800" baseline="0"/>
            <a:t> the price for Standard SSD's were adjusted at GA and not just doubled as the normal procedure is at GA launch.</a:t>
          </a:r>
        </a:p>
        <a:p>
          <a:endParaRPr lang="en-US" sz="800" baseline="0"/>
        </a:p>
      </xdr:txBody>
    </xdr:sp>
    <xdr:clientData/>
  </xdr:twoCellAnchor>
  <xdr:twoCellAnchor>
    <xdr:from>
      <xdr:col>6</xdr:col>
      <xdr:colOff>733425</xdr:colOff>
      <xdr:row>46</xdr:row>
      <xdr:rowOff>95250</xdr:rowOff>
    </xdr:from>
    <xdr:to>
      <xdr:col>7</xdr:col>
      <xdr:colOff>177800</xdr:colOff>
      <xdr:row>46</xdr:row>
      <xdr:rowOff>95250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E3E067C-6D3E-410B-BC87-6EDECC8AEA75}"/>
            </a:ext>
          </a:extLst>
        </xdr:cNvPr>
        <xdr:cNvCxnSpPr/>
      </xdr:nvCxnSpPr>
      <xdr:spPr>
        <a:xfrm>
          <a:off x="4264025" y="8420100"/>
          <a:ext cx="1841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1085849</xdr:colOff>
      <xdr:row>33</xdr:row>
      <xdr:rowOff>19050</xdr:rowOff>
    </xdr:from>
    <xdr:to>
      <xdr:col>6</xdr:col>
      <xdr:colOff>19050</xdr:colOff>
      <xdr:row>45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D14820C-BFD6-40E2-B936-DF5CCE67ECE0}"/>
            </a:ext>
          </a:extLst>
        </xdr:cNvPr>
        <xdr:cNvSpPr/>
      </xdr:nvSpPr>
      <xdr:spPr>
        <a:xfrm>
          <a:off x="4619624" y="5991225"/>
          <a:ext cx="3629026" cy="220027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283936</xdr:colOff>
      <xdr:row>40</xdr:row>
      <xdr:rowOff>8616</xdr:rowOff>
    </xdr:from>
    <xdr:to>
      <xdr:col>12</xdr:col>
      <xdr:colOff>503917</xdr:colOff>
      <xdr:row>46</xdr:row>
      <xdr:rowOff>95249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82583C02-1A2F-4E75-9440-4D97BC2E7628}"/>
            </a:ext>
          </a:extLst>
        </xdr:cNvPr>
        <xdr:cNvSpPr/>
      </xdr:nvSpPr>
      <xdr:spPr>
        <a:xfrm>
          <a:off x="11675836" y="7628616"/>
          <a:ext cx="1848756" cy="1229633"/>
        </a:xfrm>
        <a:prstGeom prst="borderCallout1">
          <a:avLst>
            <a:gd name="adj1" fmla="val -1030"/>
            <a:gd name="adj2" fmla="val 20808"/>
            <a:gd name="adj3" fmla="val -52448"/>
            <a:gd name="adj4" fmla="val -198802"/>
          </a:avLst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800">
              <a:solidFill>
                <a:srgbClr val="FF0000"/>
              </a:solidFill>
            </a:rPr>
            <a:t>UltraSSDs</a:t>
          </a:r>
          <a:r>
            <a:rPr lang="en-US" sz="800" baseline="0">
              <a:solidFill>
                <a:srgbClr val="FF0000"/>
              </a:solidFill>
            </a:rPr>
            <a:t> can now be found using getUSSD and getUSSDPriceHour.</a:t>
          </a:r>
        </a:p>
        <a:p>
          <a:pPr algn="l"/>
          <a:r>
            <a:rPr lang="en-US" sz="800" baseline="0">
              <a:solidFill>
                <a:srgbClr val="FF0000"/>
              </a:solidFill>
            </a:rPr>
            <a:t>USSD's are currently only availible in us-east in the calculator. </a:t>
          </a:r>
        </a:p>
        <a:p>
          <a:pPr algn="l"/>
          <a:r>
            <a:rPr lang="en-US" sz="800" baseline="0">
              <a:solidFill>
                <a:srgbClr val="FF0000"/>
              </a:solidFill>
            </a:rPr>
            <a:t>(us-east-2 according to documentation this is most likely an issue in the calculator)</a:t>
          </a:r>
        </a:p>
        <a:p>
          <a:pPr algn="l"/>
          <a:r>
            <a:rPr lang="en-US" sz="800" baseline="0">
              <a:solidFill>
                <a:srgbClr val="FF0000"/>
              </a:solidFill>
            </a:rPr>
            <a:t>As USSD is Preview, the prices are marked red and doubled.</a:t>
          </a:r>
        </a:p>
        <a:p>
          <a:pPr algn="l"/>
          <a:endParaRPr lang="en-US" sz="800" baseline="0">
            <a:solidFill>
              <a:srgbClr val="FF0000"/>
            </a:solidFill>
          </a:endParaRPr>
        </a:p>
        <a:p>
          <a:pPr algn="l"/>
          <a:endParaRPr lang="en-US" sz="8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aka.ms/excelazure" TargetMode="External"/><Relationship Id="rId1" Type="http://schemas.openxmlformats.org/officeDocument/2006/relationships/hyperlink" Target="https://github.com/KillerFeature/excelAzur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AEE4F-C98C-4C2D-B259-506DD43D7693}">
  <sheetPr codeName="Sheet3"/>
  <dimension ref="A4:R50"/>
  <sheetViews>
    <sheetView topLeftCell="A4" zoomScale="140" workbookViewId="0">
      <selection activeCell="A10" sqref="A10"/>
    </sheetView>
  </sheetViews>
  <sheetFormatPr defaultColWidth="8.7265625" defaultRowHeight="12"/>
  <cols>
    <col min="1" max="2" width="8.7265625" style="9"/>
    <col min="3" max="3" width="22.1796875" style="9" bestFit="1" customWidth="1"/>
    <col min="4" max="4" width="4.54296875" style="9" bestFit="1" customWidth="1"/>
    <col min="5" max="5" width="5.54296875" style="9" customWidth="1"/>
    <col min="6" max="6" width="5" style="9" bestFit="1" customWidth="1"/>
    <col min="7" max="7" width="8.7265625" style="9"/>
    <col min="8" max="8" width="16.453125" style="9" customWidth="1"/>
    <col min="9" max="9" width="15.54296875" style="10" customWidth="1"/>
    <col min="10" max="10" width="20.453125" style="9" customWidth="1"/>
    <col min="11" max="11" width="18.453125" style="9" customWidth="1"/>
    <col min="12" max="12" width="14.453125" style="9" bestFit="1" customWidth="1"/>
    <col min="13" max="13" width="9.54296875" style="9" customWidth="1"/>
    <col min="14" max="14" width="8.7265625" style="9"/>
    <col min="15" max="15" width="21.7265625" style="9" bestFit="1" customWidth="1"/>
    <col min="16" max="16" width="14.453125" style="10" bestFit="1" customWidth="1"/>
    <col min="17" max="17" width="8.7265625" style="9"/>
    <col min="18" max="18" width="13.54296875" style="9" bestFit="1" customWidth="1"/>
    <col min="19" max="16384" width="8.7265625" style="9"/>
  </cols>
  <sheetData>
    <row r="4" spans="1:17">
      <c r="C4" s="17" t="s">
        <v>40</v>
      </c>
      <c r="D4" s="17" t="s">
        <v>39</v>
      </c>
      <c r="E4" s="17" t="s">
        <v>38</v>
      </c>
      <c r="F4" s="17" t="s">
        <v>37</v>
      </c>
      <c r="G4" s="17" t="s">
        <v>36</v>
      </c>
      <c r="H4" s="17" t="s">
        <v>35</v>
      </c>
      <c r="I4" s="18" t="s">
        <v>34</v>
      </c>
      <c r="J4" s="17" t="s">
        <v>33</v>
      </c>
      <c r="K4" s="17" t="s">
        <v>32</v>
      </c>
      <c r="L4" s="17" t="s">
        <v>31</v>
      </c>
      <c r="M4" s="17" t="s">
        <v>30</v>
      </c>
      <c r="N4" s="17" t="s">
        <v>29</v>
      </c>
    </row>
    <row r="5" spans="1:17">
      <c r="A5" s="17" t="s">
        <v>28</v>
      </c>
      <c r="C5" s="9" t="str">
        <f t="shared" ref="C5:C49" si="0">_xlfn.CONCAT("Virtual Server ",D5," Cores, ",E5,"GB")</f>
        <v>Virtual Server 2 Cores, 2GB</v>
      </c>
      <c r="D5" s="9">
        <v>2</v>
      </c>
      <c r="E5" s="9">
        <v>2</v>
      </c>
      <c r="F5" s="9">
        <v>123</v>
      </c>
      <c r="G5" s="9">
        <v>256</v>
      </c>
      <c r="H5" s="13" t="str">
        <f>getVM(D5,E5,$A$6,$A$8,$A$10,,$A$14)</f>
        <v>linux-b2s-standard</v>
      </c>
      <c r="I5" s="16">
        <f>getVMPriceHour(H5,$A$6,$A$8,$A$10)*730</f>
        <v>50.077999999999996</v>
      </c>
      <c r="J5" s="13" t="str">
        <f>getVM(D5,E5,$A$6,$A$8,$A$10,"",_xlfn.CONCAT($A$14,";windows"))</f>
        <v>windows-b2s-standard</v>
      </c>
      <c r="K5" s="13" t="e">
        <f t="shared" ref="K5:K49" si="1">getVMPriceHour(H5,3,$A$8,$A$10)*$A$12</f>
        <v>#VALUE!</v>
      </c>
      <c r="L5" s="15" t="e">
        <f t="shared" ref="L5:L49" si="2">I5-K5</f>
        <v>#VALUE!</v>
      </c>
      <c r="M5" s="14" t="str">
        <f t="shared" ref="M5:M49" si="3">getVMData(H5,$A$8,$A$10,"cores")</f>
        <v>2</v>
      </c>
      <c r="N5" s="14" t="str">
        <f>getVMData(H5,$A$8,$A$10,"ram")</f>
        <v>4</v>
      </c>
      <c r="O5" s="13"/>
      <c r="Q5" s="12"/>
    </row>
    <row r="6" spans="1:17">
      <c r="A6" s="9">
        <v>0</v>
      </c>
      <c r="C6" s="9" t="str">
        <f t="shared" si="0"/>
        <v>Virtual Server 1 Cores, 4GB</v>
      </c>
      <c r="D6" s="9">
        <v>1</v>
      </c>
      <c r="E6" s="9">
        <v>4</v>
      </c>
      <c r="F6" s="9">
        <v>144</v>
      </c>
      <c r="G6" s="9">
        <v>128</v>
      </c>
      <c r="H6" s="13" t="str">
        <f t="shared" ref="H6:H49" si="4">getVM(D6,E6,$A$6,$A$8,$A$10,,$A$14)</f>
        <v>linux-b1ls-standard</v>
      </c>
      <c r="I6" s="16">
        <f t="shared" ref="I6:I49" si="5">getVMPriceHour(H6,$A$6,$A$8,$A$10)*$A$12</f>
        <v>6.2634000000000007</v>
      </c>
      <c r="J6" s="13" t="str">
        <f t="shared" ref="J6:J49" si="6">getVM(D6,E6,$A$6,$A$8,$A$10,"",_xlfn.CONCAT($A$14,";windows"))</f>
        <v>windows-b2s-standard</v>
      </c>
      <c r="K6" s="13" t="e">
        <f t="shared" si="1"/>
        <v>#VALUE!</v>
      </c>
      <c r="L6" s="15" t="e">
        <f t="shared" si="2"/>
        <v>#VALUE!</v>
      </c>
      <c r="M6" s="14" t="str">
        <f t="shared" si="3"/>
        <v>1</v>
      </c>
      <c r="N6" s="14" t="str">
        <f t="shared" ref="N6:N49" si="7">getVMData(H6,$A$8,$A$10,"ram")</f>
        <v>0.5</v>
      </c>
      <c r="O6" s="13"/>
      <c r="Q6" s="12"/>
    </row>
    <row r="7" spans="1:17">
      <c r="A7" s="17" t="s">
        <v>27</v>
      </c>
      <c r="C7" s="9" t="str">
        <f t="shared" si="0"/>
        <v>Virtual Server 1 Cores, 8GB</v>
      </c>
      <c r="D7" s="9">
        <v>1</v>
      </c>
      <c r="E7" s="9">
        <v>8</v>
      </c>
      <c r="F7" s="9">
        <v>117</v>
      </c>
      <c r="G7" s="9">
        <v>192</v>
      </c>
      <c r="H7" s="13" t="str">
        <f t="shared" si="4"/>
        <v>linux-d1v2-standard</v>
      </c>
      <c r="I7" s="16">
        <f t="shared" si="5"/>
        <v>70.88300000000001</v>
      </c>
      <c r="J7" s="13" t="str">
        <f t="shared" si="6"/>
        <v>windows-d1v2-standard</v>
      </c>
      <c r="K7" s="13" t="e">
        <f t="shared" si="1"/>
        <v>#VALUE!</v>
      </c>
      <c r="L7" s="15" t="e">
        <f t="shared" si="2"/>
        <v>#VALUE!</v>
      </c>
      <c r="M7" s="14" t="str">
        <f t="shared" si="3"/>
        <v>1</v>
      </c>
      <c r="N7" s="14" t="str">
        <f t="shared" si="7"/>
        <v>3.5</v>
      </c>
      <c r="O7" s="13"/>
      <c r="Q7" s="12"/>
    </row>
    <row r="8" spans="1:17">
      <c r="A8" s="9" t="s">
        <v>209</v>
      </c>
      <c r="C8" s="9" t="str">
        <f t="shared" si="0"/>
        <v>Virtual Server 2 Cores, 2GB</v>
      </c>
      <c r="D8" s="9">
        <v>2</v>
      </c>
      <c r="E8" s="9">
        <v>2</v>
      </c>
      <c r="F8" s="9">
        <v>145</v>
      </c>
      <c r="G8" s="9">
        <v>128</v>
      </c>
      <c r="H8" s="13" t="str">
        <f t="shared" si="4"/>
        <v>linux-b2s-standard</v>
      </c>
      <c r="I8" s="16">
        <f t="shared" si="5"/>
        <v>50.077999999999996</v>
      </c>
      <c r="J8" s="13" t="str">
        <f t="shared" si="6"/>
        <v>windows-b2s-standard</v>
      </c>
      <c r="K8" s="13" t="e">
        <f t="shared" si="1"/>
        <v>#VALUE!</v>
      </c>
      <c r="L8" s="15" t="e">
        <f t="shared" si="2"/>
        <v>#VALUE!</v>
      </c>
      <c r="M8" s="14" t="str">
        <f t="shared" si="3"/>
        <v>2</v>
      </c>
      <c r="N8" s="14" t="str">
        <f t="shared" si="7"/>
        <v>4</v>
      </c>
      <c r="O8" s="13"/>
      <c r="Q8" s="12"/>
    </row>
    <row r="9" spans="1:17">
      <c r="A9" s="17" t="s">
        <v>25</v>
      </c>
      <c r="C9" s="9" t="str">
        <f t="shared" si="0"/>
        <v>Virtual Server 2 Cores, 4GB</v>
      </c>
      <c r="D9" s="9">
        <v>2</v>
      </c>
      <c r="E9" s="9">
        <v>4</v>
      </c>
      <c r="F9" s="9">
        <v>107</v>
      </c>
      <c r="G9" s="9">
        <v>288</v>
      </c>
      <c r="H9" s="13" t="str">
        <f t="shared" si="4"/>
        <v>linux-b2s-standard</v>
      </c>
      <c r="I9" s="16">
        <f t="shared" si="5"/>
        <v>50.077999999999996</v>
      </c>
      <c r="J9" s="13" t="str">
        <f t="shared" si="6"/>
        <v>windows-b2s-standard</v>
      </c>
      <c r="K9" s="13" t="e">
        <f t="shared" si="1"/>
        <v>#VALUE!</v>
      </c>
      <c r="L9" s="15" t="e">
        <f t="shared" si="2"/>
        <v>#VALUE!</v>
      </c>
      <c r="M9" s="14" t="str">
        <f t="shared" si="3"/>
        <v>2</v>
      </c>
      <c r="N9" s="14" t="str">
        <f t="shared" si="7"/>
        <v>4</v>
      </c>
      <c r="O9" s="13"/>
      <c r="Q9" s="12"/>
    </row>
    <row r="10" spans="1:17">
      <c r="A10" s="9" t="s">
        <v>99</v>
      </c>
      <c r="C10" s="9" t="str">
        <f t="shared" si="0"/>
        <v>Virtual Server 2 Cores, 8GB</v>
      </c>
      <c r="D10" s="9">
        <v>2</v>
      </c>
      <c r="E10" s="9">
        <v>8</v>
      </c>
      <c r="F10" s="9">
        <v>112</v>
      </c>
      <c r="G10" s="9">
        <v>192</v>
      </c>
      <c r="H10" s="13" t="str">
        <f t="shared" si="4"/>
        <v>linux-b2ms-standard</v>
      </c>
      <c r="I10" s="16">
        <f t="shared" si="5"/>
        <v>100.01</v>
      </c>
      <c r="J10" s="13" t="str">
        <f t="shared" si="6"/>
        <v>windows-b2ms-standard</v>
      </c>
      <c r="K10" s="13" t="e">
        <f t="shared" si="1"/>
        <v>#VALUE!</v>
      </c>
      <c r="L10" s="15" t="e">
        <f t="shared" si="2"/>
        <v>#VALUE!</v>
      </c>
      <c r="M10" s="14" t="str">
        <f t="shared" si="3"/>
        <v>2</v>
      </c>
      <c r="N10" s="14" t="str">
        <f t="shared" si="7"/>
        <v>8</v>
      </c>
      <c r="O10" s="13"/>
      <c r="Q10" s="12"/>
    </row>
    <row r="11" spans="1:17">
      <c r="A11" s="17" t="s">
        <v>24</v>
      </c>
      <c r="C11" s="9" t="str">
        <f t="shared" si="0"/>
        <v>Virtual Server 2 Cores, 16GB</v>
      </c>
      <c r="D11" s="9">
        <v>2</v>
      </c>
      <c r="E11" s="9">
        <v>16</v>
      </c>
      <c r="F11" s="9">
        <v>47</v>
      </c>
      <c r="G11" s="9">
        <v>288</v>
      </c>
      <c r="H11" s="13" t="str">
        <f t="shared" si="4"/>
        <v>linux-a2mv2-standard</v>
      </c>
      <c r="I11" s="16">
        <f t="shared" si="5"/>
        <v>129.20999999999998</v>
      </c>
      <c r="J11" s="13" t="str">
        <f t="shared" si="6"/>
        <v>windows-a2mv2-standard</v>
      </c>
      <c r="K11" s="13" t="e">
        <f t="shared" si="1"/>
        <v>#VALUE!</v>
      </c>
      <c r="L11" s="15" t="e">
        <f t="shared" si="2"/>
        <v>#VALUE!</v>
      </c>
      <c r="M11" s="14" t="str">
        <f t="shared" si="3"/>
        <v>2</v>
      </c>
      <c r="N11" s="14" t="str">
        <f t="shared" si="7"/>
        <v>16</v>
      </c>
      <c r="O11" s="13"/>
      <c r="Q11" s="12"/>
    </row>
    <row r="12" spans="1:17">
      <c r="A12" s="9">
        <v>730</v>
      </c>
      <c r="C12" s="9" t="str">
        <f t="shared" si="0"/>
        <v>Virtual Server 4 Cores, 2GB</v>
      </c>
      <c r="D12" s="9">
        <v>4</v>
      </c>
      <c r="E12" s="9">
        <v>2</v>
      </c>
      <c r="F12" s="9">
        <v>8</v>
      </c>
      <c r="G12" s="9">
        <v>160</v>
      </c>
      <c r="H12" s="13" t="str">
        <f t="shared" si="4"/>
        <v>linux-a4v2-standard</v>
      </c>
      <c r="I12" s="16">
        <f t="shared" si="5"/>
        <v>191.26000000000002</v>
      </c>
      <c r="J12" s="13" t="str">
        <f t="shared" si="6"/>
        <v>windows-b4ms-standard</v>
      </c>
      <c r="K12" s="13" t="e">
        <f t="shared" si="1"/>
        <v>#VALUE!</v>
      </c>
      <c r="L12" s="15" t="e">
        <f t="shared" si="2"/>
        <v>#VALUE!</v>
      </c>
      <c r="M12" s="14" t="str">
        <f t="shared" si="3"/>
        <v>4</v>
      </c>
      <c r="N12" s="14" t="str">
        <f t="shared" si="7"/>
        <v>8</v>
      </c>
      <c r="O12" s="13"/>
      <c r="Q12" s="12"/>
    </row>
    <row r="13" spans="1:17">
      <c r="A13" s="17" t="s">
        <v>202</v>
      </c>
      <c r="C13" s="9" t="str">
        <f t="shared" si="0"/>
        <v>Virtual Server 4 Cores, 4GB</v>
      </c>
      <c r="D13" s="9">
        <v>4</v>
      </c>
      <c r="E13" s="9">
        <v>4</v>
      </c>
      <c r="F13" s="9">
        <v>148</v>
      </c>
      <c r="G13" s="9">
        <v>288</v>
      </c>
      <c r="H13" s="13" t="str">
        <f t="shared" si="4"/>
        <v>linux-a4v2-standard</v>
      </c>
      <c r="I13" s="16">
        <f t="shared" si="5"/>
        <v>191.26000000000002</v>
      </c>
      <c r="J13" s="13" t="str">
        <f t="shared" si="6"/>
        <v>windows-b4ms-standard</v>
      </c>
      <c r="K13" s="13" t="e">
        <f t="shared" si="1"/>
        <v>#VALUE!</v>
      </c>
      <c r="L13" s="15" t="e">
        <f t="shared" si="2"/>
        <v>#VALUE!</v>
      </c>
      <c r="M13" s="14" t="str">
        <f t="shared" si="3"/>
        <v>4</v>
      </c>
      <c r="N13" s="14" t="str">
        <f t="shared" si="7"/>
        <v>8</v>
      </c>
      <c r="O13" s="13"/>
      <c r="Q13" s="12"/>
    </row>
    <row r="14" spans="1:17">
      <c r="A14" s="9" t="s">
        <v>179</v>
      </c>
      <c r="C14" s="9" t="str">
        <f t="shared" si="0"/>
        <v>Virtual Server 4 Cores, 8GB</v>
      </c>
      <c r="D14" s="9">
        <v>4</v>
      </c>
      <c r="E14" s="9">
        <v>8</v>
      </c>
      <c r="F14" s="9">
        <v>69</v>
      </c>
      <c r="G14" s="9">
        <v>64</v>
      </c>
      <c r="H14" s="13" t="str">
        <f t="shared" si="4"/>
        <v>linux-a4v2-standard</v>
      </c>
      <c r="I14" s="16">
        <f t="shared" si="5"/>
        <v>191.26000000000002</v>
      </c>
      <c r="J14" s="13" t="str">
        <f t="shared" si="6"/>
        <v>windows-b4ms-standard</v>
      </c>
      <c r="K14" s="13" t="e">
        <f t="shared" si="1"/>
        <v>#VALUE!</v>
      </c>
      <c r="L14" s="15" t="e">
        <f t="shared" si="2"/>
        <v>#VALUE!</v>
      </c>
      <c r="M14" s="14" t="str">
        <f t="shared" si="3"/>
        <v>4</v>
      </c>
      <c r="N14" s="14" t="str">
        <f t="shared" si="7"/>
        <v>8</v>
      </c>
      <c r="O14" s="13"/>
      <c r="Q14" s="12"/>
    </row>
    <row r="15" spans="1:17">
      <c r="C15" s="9" t="str">
        <f t="shared" si="0"/>
        <v>Virtual Server 4 Cores, 16GB</v>
      </c>
      <c r="D15" s="9">
        <v>4</v>
      </c>
      <c r="E15" s="9">
        <v>16</v>
      </c>
      <c r="F15" s="9">
        <v>9</v>
      </c>
      <c r="G15" s="9">
        <v>32</v>
      </c>
      <c r="H15" s="13" t="str">
        <f t="shared" si="4"/>
        <v>linux-b4ms-standard</v>
      </c>
      <c r="I15" s="16">
        <f t="shared" si="5"/>
        <v>200.75000000000003</v>
      </c>
      <c r="J15" s="13" t="str">
        <f t="shared" si="6"/>
        <v>windows-b4ms-standard</v>
      </c>
      <c r="K15" s="13" t="e">
        <f t="shared" si="1"/>
        <v>#VALUE!</v>
      </c>
      <c r="L15" s="15" t="e">
        <f t="shared" si="2"/>
        <v>#VALUE!</v>
      </c>
      <c r="M15" s="14" t="str">
        <f t="shared" si="3"/>
        <v>4</v>
      </c>
      <c r="N15" s="14" t="str">
        <f t="shared" si="7"/>
        <v>16</v>
      </c>
      <c r="O15" s="13"/>
      <c r="Q15" s="12"/>
    </row>
    <row r="16" spans="1:17">
      <c r="C16" s="9" t="str">
        <f t="shared" si="0"/>
        <v>Virtual Server 4 Cores, 32GB</v>
      </c>
      <c r="D16" s="9">
        <v>4</v>
      </c>
      <c r="E16" s="9">
        <v>32</v>
      </c>
      <c r="F16" s="9">
        <v>93</v>
      </c>
      <c r="G16" s="9">
        <v>32</v>
      </c>
      <c r="H16" s="13" t="str">
        <f t="shared" si="4"/>
        <v>linux-a4mv2-standard</v>
      </c>
      <c r="I16" s="16">
        <f t="shared" si="5"/>
        <v>271.56</v>
      </c>
      <c r="J16" s="13" t="str">
        <f t="shared" si="6"/>
        <v>windows-a4mv2-standard</v>
      </c>
      <c r="K16" s="13" t="e">
        <f t="shared" si="1"/>
        <v>#VALUE!</v>
      </c>
      <c r="L16" s="15" t="e">
        <f t="shared" si="2"/>
        <v>#VALUE!</v>
      </c>
      <c r="M16" s="14" t="str">
        <f t="shared" si="3"/>
        <v>4</v>
      </c>
      <c r="N16" s="14" t="str">
        <f t="shared" si="7"/>
        <v>32</v>
      </c>
      <c r="O16" s="13"/>
      <c r="Q16" s="12"/>
    </row>
    <row r="17" spans="3:17">
      <c r="C17" s="9" t="str">
        <f t="shared" si="0"/>
        <v>Virtual Server 8 Cores, 2GB</v>
      </c>
      <c r="D17" s="9">
        <v>8</v>
      </c>
      <c r="E17" s="9">
        <v>2</v>
      </c>
      <c r="F17" s="9">
        <v>42</v>
      </c>
      <c r="G17" s="9">
        <v>256</v>
      </c>
      <c r="H17" s="13" t="str">
        <f t="shared" si="4"/>
        <v>linux-a8v2-standard</v>
      </c>
      <c r="I17" s="16">
        <f t="shared" si="5"/>
        <v>400.04</v>
      </c>
      <c r="J17" s="13" t="str">
        <f t="shared" si="6"/>
        <v>windows-b8ms-standard</v>
      </c>
      <c r="K17" s="13" t="e">
        <f t="shared" si="1"/>
        <v>#VALUE!</v>
      </c>
      <c r="L17" s="15" t="e">
        <f t="shared" si="2"/>
        <v>#VALUE!</v>
      </c>
      <c r="M17" s="14" t="str">
        <f t="shared" si="3"/>
        <v>8</v>
      </c>
      <c r="N17" s="14" t="str">
        <f t="shared" si="7"/>
        <v>16</v>
      </c>
      <c r="O17" s="13"/>
      <c r="Q17" s="12"/>
    </row>
    <row r="18" spans="3:17">
      <c r="C18" s="9" t="str">
        <f t="shared" si="0"/>
        <v>Virtual Server 8 Cores, 4GB</v>
      </c>
      <c r="D18" s="9">
        <v>8</v>
      </c>
      <c r="E18" s="9">
        <v>4</v>
      </c>
      <c r="F18" s="9">
        <v>156</v>
      </c>
      <c r="G18" s="9">
        <v>96</v>
      </c>
      <c r="H18" s="13" t="str">
        <f t="shared" si="4"/>
        <v>linux-a8v2-standard</v>
      </c>
      <c r="I18" s="16">
        <f t="shared" si="5"/>
        <v>400.04</v>
      </c>
      <c r="J18" s="13" t="str">
        <f t="shared" si="6"/>
        <v>windows-b8ms-standard</v>
      </c>
      <c r="K18" s="13" t="e">
        <f t="shared" si="1"/>
        <v>#VALUE!</v>
      </c>
      <c r="L18" s="15" t="e">
        <f t="shared" si="2"/>
        <v>#VALUE!</v>
      </c>
      <c r="M18" s="14" t="str">
        <f t="shared" si="3"/>
        <v>8</v>
      </c>
      <c r="N18" s="14" t="str">
        <f t="shared" si="7"/>
        <v>16</v>
      </c>
      <c r="O18" s="13"/>
      <c r="Q18" s="12"/>
    </row>
    <row r="19" spans="3:17">
      <c r="C19" s="9" t="str">
        <f t="shared" si="0"/>
        <v>Virtual Server 8 Cores, 8GB</v>
      </c>
      <c r="D19" s="9">
        <v>8</v>
      </c>
      <c r="E19" s="9">
        <v>8</v>
      </c>
      <c r="F19" s="9">
        <v>125</v>
      </c>
      <c r="G19" s="9">
        <v>96</v>
      </c>
      <c r="H19" s="13" t="str">
        <f t="shared" si="4"/>
        <v>linux-a8v2-standard</v>
      </c>
      <c r="I19" s="16">
        <f t="shared" si="5"/>
        <v>400.04</v>
      </c>
      <c r="J19" s="13" t="str">
        <f t="shared" si="6"/>
        <v>windows-b8ms-standard</v>
      </c>
      <c r="K19" s="13" t="e">
        <f t="shared" si="1"/>
        <v>#VALUE!</v>
      </c>
      <c r="L19" s="15" t="e">
        <f t="shared" si="2"/>
        <v>#VALUE!</v>
      </c>
      <c r="M19" s="14" t="str">
        <f t="shared" si="3"/>
        <v>8</v>
      </c>
      <c r="N19" s="14" t="str">
        <f t="shared" si="7"/>
        <v>16</v>
      </c>
      <c r="O19" s="13"/>
      <c r="Q19" s="12"/>
    </row>
    <row r="20" spans="3:17">
      <c r="C20" s="9" t="str">
        <f t="shared" si="0"/>
        <v>Virtual Server 8 Cores, 16GB</v>
      </c>
      <c r="D20" s="9">
        <v>8</v>
      </c>
      <c r="E20" s="9">
        <v>16</v>
      </c>
      <c r="F20" s="9">
        <v>173</v>
      </c>
      <c r="G20" s="9">
        <v>192</v>
      </c>
      <c r="H20" s="13" t="str">
        <f t="shared" si="4"/>
        <v>linux-a8v2-standard</v>
      </c>
      <c r="I20" s="16">
        <f t="shared" si="5"/>
        <v>400.04</v>
      </c>
      <c r="J20" s="13" t="str">
        <f t="shared" si="6"/>
        <v>windows-b8ms-standard</v>
      </c>
      <c r="K20" s="13" t="e">
        <f t="shared" si="1"/>
        <v>#VALUE!</v>
      </c>
      <c r="L20" s="15" t="e">
        <f t="shared" si="2"/>
        <v>#VALUE!</v>
      </c>
      <c r="M20" s="14" t="str">
        <f t="shared" si="3"/>
        <v>8</v>
      </c>
      <c r="N20" s="14" t="str">
        <f t="shared" si="7"/>
        <v>16</v>
      </c>
      <c r="O20" s="13"/>
      <c r="Q20" s="12"/>
    </row>
    <row r="21" spans="3:17">
      <c r="C21" s="9" t="str">
        <f t="shared" si="0"/>
        <v>Virtual Server 8 Cores, 32GB</v>
      </c>
      <c r="D21" s="9">
        <v>8</v>
      </c>
      <c r="E21" s="9">
        <v>32</v>
      </c>
      <c r="F21" s="9">
        <v>110</v>
      </c>
      <c r="G21" s="9">
        <v>160</v>
      </c>
      <c r="H21" s="13" t="str">
        <f t="shared" si="4"/>
        <v>linux-b8ms-standard</v>
      </c>
      <c r="I21" s="16">
        <f t="shared" si="5"/>
        <v>400.77000000000004</v>
      </c>
      <c r="J21" s="13" t="str">
        <f t="shared" si="6"/>
        <v>windows-b8ms-standard</v>
      </c>
      <c r="K21" s="13" t="e">
        <f t="shared" si="1"/>
        <v>#VALUE!</v>
      </c>
      <c r="L21" s="15" t="e">
        <f t="shared" si="2"/>
        <v>#VALUE!</v>
      </c>
      <c r="M21" s="14" t="str">
        <f t="shared" si="3"/>
        <v>8</v>
      </c>
      <c r="N21" s="14" t="str">
        <f t="shared" si="7"/>
        <v>32</v>
      </c>
      <c r="O21" s="13"/>
      <c r="Q21" s="12"/>
    </row>
    <row r="22" spans="3:17">
      <c r="C22" s="9" t="str">
        <f t="shared" si="0"/>
        <v>Virtual Server 8 Cores, 64GB</v>
      </c>
      <c r="D22" s="9">
        <v>8</v>
      </c>
      <c r="E22" s="9">
        <v>64</v>
      </c>
      <c r="F22" s="9">
        <v>26</v>
      </c>
      <c r="G22" s="9">
        <v>128</v>
      </c>
      <c r="H22" s="13" t="str">
        <f t="shared" si="4"/>
        <v>linux-a8mv2-standard</v>
      </c>
      <c r="I22" s="16">
        <f t="shared" si="5"/>
        <v>570.13</v>
      </c>
      <c r="J22" s="13" t="str">
        <f t="shared" si="6"/>
        <v>windows-a8mv2-standard</v>
      </c>
      <c r="K22" s="13" t="e">
        <f t="shared" si="1"/>
        <v>#VALUE!</v>
      </c>
      <c r="L22" s="15" t="e">
        <f t="shared" si="2"/>
        <v>#VALUE!</v>
      </c>
      <c r="M22" s="14" t="str">
        <f t="shared" si="3"/>
        <v>8</v>
      </c>
      <c r="N22" s="14" t="str">
        <f t="shared" si="7"/>
        <v>64</v>
      </c>
      <c r="O22" s="13"/>
      <c r="Q22" s="12"/>
    </row>
    <row r="23" spans="3:17">
      <c r="C23" s="9" t="str">
        <f t="shared" si="0"/>
        <v>Virtual Server 8 Cores, 128GB</v>
      </c>
      <c r="D23" s="9">
        <v>8</v>
      </c>
      <c r="E23" s="9">
        <v>128</v>
      </c>
      <c r="F23" s="9">
        <v>126</v>
      </c>
      <c r="G23" s="9">
        <v>96</v>
      </c>
      <c r="H23" s="13" t="str">
        <f t="shared" si="4"/>
        <v>linux-e16v3-standard</v>
      </c>
      <c r="I23" s="16">
        <f t="shared" si="5"/>
        <v>1335.9</v>
      </c>
      <c r="J23" s="13" t="str">
        <f t="shared" si="6"/>
        <v>windows-e16v3-standard</v>
      </c>
      <c r="K23" s="13" t="e">
        <f t="shared" si="1"/>
        <v>#VALUE!</v>
      </c>
      <c r="L23" s="15" t="e">
        <f t="shared" si="2"/>
        <v>#VALUE!</v>
      </c>
      <c r="M23" s="14" t="str">
        <f t="shared" si="3"/>
        <v>16</v>
      </c>
      <c r="N23" s="14" t="str">
        <f t="shared" si="7"/>
        <v>128</v>
      </c>
      <c r="O23" s="13"/>
      <c r="Q23" s="12"/>
    </row>
    <row r="24" spans="3:17">
      <c r="C24" s="9" t="str">
        <f t="shared" si="0"/>
        <v>Virtual Server 8 Cores, 256GB</v>
      </c>
      <c r="D24" s="9">
        <v>8</v>
      </c>
      <c r="E24" s="9">
        <v>256</v>
      </c>
      <c r="F24" s="9">
        <v>86</v>
      </c>
      <c r="G24" s="9">
        <v>128</v>
      </c>
      <c r="H24" s="13" t="str">
        <f t="shared" si="4"/>
        <v>linux-e32v3-standard</v>
      </c>
      <c r="I24" s="16">
        <f t="shared" si="5"/>
        <v>2672.53</v>
      </c>
      <c r="J24" s="13" t="str">
        <f t="shared" si="6"/>
        <v>windows-e32v3-standard</v>
      </c>
      <c r="K24" s="13" t="e">
        <f t="shared" si="1"/>
        <v>#VALUE!</v>
      </c>
      <c r="L24" s="15" t="e">
        <f t="shared" si="2"/>
        <v>#VALUE!</v>
      </c>
      <c r="M24" s="14" t="str">
        <f t="shared" si="3"/>
        <v>32</v>
      </c>
      <c r="N24" s="14" t="str">
        <f t="shared" si="7"/>
        <v>256</v>
      </c>
      <c r="O24" s="13"/>
      <c r="Q24" s="12"/>
    </row>
    <row r="25" spans="3:17">
      <c r="C25" s="9" t="str">
        <f t="shared" si="0"/>
        <v>Virtual Server 16 Cores, 64GB</v>
      </c>
      <c r="D25" s="9">
        <v>16</v>
      </c>
      <c r="E25" s="9">
        <v>64</v>
      </c>
      <c r="F25" s="9">
        <v>126</v>
      </c>
      <c r="G25" s="9">
        <v>128</v>
      </c>
      <c r="H25" s="13" t="str">
        <f t="shared" si="4"/>
        <v>linux-b16ms-standard</v>
      </c>
      <c r="I25" s="16">
        <f t="shared" si="5"/>
        <v>801.54000000000008</v>
      </c>
      <c r="J25" s="13" t="str">
        <f t="shared" si="6"/>
        <v>windows-b16ms-standard</v>
      </c>
      <c r="K25" s="13" t="e">
        <f t="shared" si="1"/>
        <v>#VALUE!</v>
      </c>
      <c r="L25" s="15" t="e">
        <f t="shared" si="2"/>
        <v>#VALUE!</v>
      </c>
      <c r="M25" s="14" t="str">
        <f t="shared" si="3"/>
        <v>16</v>
      </c>
      <c r="N25" s="14" t="str">
        <f t="shared" si="7"/>
        <v>64</v>
      </c>
      <c r="O25" s="13"/>
      <c r="Q25" s="12"/>
    </row>
    <row r="26" spans="3:17">
      <c r="C26" s="9" t="str">
        <f t="shared" si="0"/>
        <v>Virtual Server 16 Cores, 128GB</v>
      </c>
      <c r="D26" s="9">
        <v>16</v>
      </c>
      <c r="E26" s="9">
        <v>128</v>
      </c>
      <c r="F26" s="9">
        <v>128</v>
      </c>
      <c r="G26" s="9">
        <v>160</v>
      </c>
      <c r="H26" s="13" t="str">
        <f t="shared" si="4"/>
        <v>linux-e16v3-standard</v>
      </c>
      <c r="I26" s="16">
        <f t="shared" si="5"/>
        <v>1335.9</v>
      </c>
      <c r="J26" s="13" t="str">
        <f t="shared" si="6"/>
        <v>windows-e16v3-standard</v>
      </c>
      <c r="K26" s="13" t="e">
        <f t="shared" si="1"/>
        <v>#VALUE!</v>
      </c>
      <c r="L26" s="15" t="e">
        <f t="shared" si="2"/>
        <v>#VALUE!</v>
      </c>
      <c r="M26" s="14" t="str">
        <f t="shared" si="3"/>
        <v>16</v>
      </c>
      <c r="N26" s="14" t="str">
        <f t="shared" si="7"/>
        <v>128</v>
      </c>
      <c r="O26" s="13"/>
      <c r="Q26" s="12"/>
    </row>
    <row r="27" spans="3:17">
      <c r="C27" s="9" t="str">
        <f t="shared" si="0"/>
        <v>Virtual Server 16 Cores, 256GB</v>
      </c>
      <c r="D27" s="9">
        <v>16</v>
      </c>
      <c r="E27" s="9">
        <v>256</v>
      </c>
      <c r="F27" s="9">
        <v>65</v>
      </c>
      <c r="G27" s="9">
        <v>224</v>
      </c>
      <c r="H27" s="13" t="str">
        <f t="shared" si="4"/>
        <v>linux-e32v3-standard</v>
      </c>
      <c r="I27" s="16">
        <f t="shared" si="5"/>
        <v>2672.53</v>
      </c>
      <c r="J27" s="13" t="str">
        <f t="shared" si="6"/>
        <v>windows-e32v3-standard</v>
      </c>
      <c r="K27" s="13" t="e">
        <f t="shared" si="1"/>
        <v>#VALUE!</v>
      </c>
      <c r="L27" s="15" t="e">
        <f t="shared" si="2"/>
        <v>#VALUE!</v>
      </c>
      <c r="M27" s="14" t="str">
        <f t="shared" si="3"/>
        <v>32</v>
      </c>
      <c r="N27" s="14" t="str">
        <f t="shared" si="7"/>
        <v>256</v>
      </c>
      <c r="O27" s="13"/>
      <c r="Q27" s="12"/>
    </row>
    <row r="28" spans="3:17">
      <c r="C28" s="9" t="str">
        <f t="shared" si="0"/>
        <v>Virtual Server 16 Cores, 512GB</v>
      </c>
      <c r="D28" s="9">
        <v>16</v>
      </c>
      <c r="E28" s="9">
        <v>512</v>
      </c>
      <c r="F28" s="9">
        <v>49</v>
      </c>
      <c r="G28" s="9">
        <v>128</v>
      </c>
      <c r="H28" s="38" t="e">
        <f t="shared" si="4"/>
        <v>#VALUE!</v>
      </c>
      <c r="I28" s="39" t="e">
        <f t="shared" si="5"/>
        <v>#VALUE!</v>
      </c>
      <c r="J28" s="38" t="e">
        <f t="shared" si="6"/>
        <v>#VALUE!</v>
      </c>
      <c r="K28" s="13" t="e">
        <f t="shared" si="1"/>
        <v>#VALUE!</v>
      </c>
      <c r="L28" s="15" t="e">
        <f t="shared" si="2"/>
        <v>#VALUE!</v>
      </c>
      <c r="M28" s="14" t="e">
        <f t="shared" si="3"/>
        <v>#VALUE!</v>
      </c>
      <c r="N28" s="14" t="e">
        <f t="shared" si="7"/>
        <v>#VALUE!</v>
      </c>
      <c r="O28" s="13"/>
      <c r="Q28" s="12"/>
    </row>
    <row r="29" spans="3:17">
      <c r="C29" s="9" t="str">
        <f t="shared" si="0"/>
        <v>Virtual Server 16 Cores, 1024GB</v>
      </c>
      <c r="D29" s="9">
        <v>16</v>
      </c>
      <c r="E29" s="9">
        <v>1024</v>
      </c>
      <c r="F29" s="9">
        <v>47</v>
      </c>
      <c r="G29" s="9">
        <v>96</v>
      </c>
      <c r="H29" s="13" t="e">
        <f t="shared" si="4"/>
        <v>#VALUE!</v>
      </c>
      <c r="I29" s="16" t="e">
        <f t="shared" si="5"/>
        <v>#VALUE!</v>
      </c>
      <c r="J29" s="13" t="e">
        <f t="shared" si="6"/>
        <v>#VALUE!</v>
      </c>
      <c r="K29" s="13" t="e">
        <f t="shared" si="1"/>
        <v>#VALUE!</v>
      </c>
      <c r="L29" s="15" t="e">
        <f t="shared" si="2"/>
        <v>#VALUE!</v>
      </c>
      <c r="M29" s="14" t="e">
        <f t="shared" si="3"/>
        <v>#VALUE!</v>
      </c>
      <c r="N29" s="14" t="e">
        <f t="shared" si="7"/>
        <v>#VALUE!</v>
      </c>
      <c r="O29" s="13"/>
      <c r="Q29" s="12"/>
    </row>
    <row r="30" spans="3:17">
      <c r="C30" s="9" t="str">
        <f t="shared" si="0"/>
        <v>Virtual Server 32 Cores, 2GB</v>
      </c>
      <c r="D30" s="9">
        <v>32</v>
      </c>
      <c r="E30" s="9">
        <v>2</v>
      </c>
      <c r="F30" s="9">
        <v>188</v>
      </c>
      <c r="G30" s="9">
        <v>64</v>
      </c>
      <c r="H30" s="13" t="str">
        <f t="shared" si="4"/>
        <v>linux-d32v3-standard</v>
      </c>
      <c r="I30" s="16">
        <f t="shared" si="5"/>
        <v>2004.58</v>
      </c>
      <c r="J30" s="13" t="str">
        <f t="shared" si="6"/>
        <v>windows-d32v3-standard</v>
      </c>
      <c r="K30" s="13" t="e">
        <f t="shared" si="1"/>
        <v>#VALUE!</v>
      </c>
      <c r="L30" s="15" t="e">
        <f t="shared" si="2"/>
        <v>#VALUE!</v>
      </c>
      <c r="M30" s="14" t="str">
        <f t="shared" si="3"/>
        <v>32</v>
      </c>
      <c r="N30" s="14" t="str">
        <f t="shared" si="7"/>
        <v>128</v>
      </c>
      <c r="O30" s="13"/>
      <c r="Q30" s="12"/>
    </row>
    <row r="31" spans="3:17">
      <c r="C31" s="9" t="str">
        <f t="shared" si="0"/>
        <v>Virtual Server 32 Cores, 4GB</v>
      </c>
      <c r="D31" s="9">
        <v>32</v>
      </c>
      <c r="E31" s="9">
        <v>4</v>
      </c>
      <c r="F31" s="9">
        <v>111</v>
      </c>
      <c r="G31" s="9">
        <v>32</v>
      </c>
      <c r="H31" s="13" t="str">
        <f t="shared" si="4"/>
        <v>linux-d32v3-standard</v>
      </c>
      <c r="I31" s="16">
        <f t="shared" si="5"/>
        <v>2004.58</v>
      </c>
      <c r="J31" s="13" t="str">
        <f t="shared" si="6"/>
        <v>windows-d32v3-standard</v>
      </c>
      <c r="K31" s="13" t="e">
        <f t="shared" si="1"/>
        <v>#VALUE!</v>
      </c>
      <c r="L31" s="15" t="e">
        <f t="shared" si="2"/>
        <v>#VALUE!</v>
      </c>
      <c r="M31" s="14" t="str">
        <f t="shared" si="3"/>
        <v>32</v>
      </c>
      <c r="N31" s="14" t="str">
        <f t="shared" si="7"/>
        <v>128</v>
      </c>
      <c r="O31" s="13"/>
      <c r="Q31" s="12"/>
    </row>
    <row r="32" spans="3:17">
      <c r="C32" s="9" t="str">
        <f t="shared" si="0"/>
        <v>Virtual Server 32 Cores, 8GB</v>
      </c>
      <c r="D32" s="9">
        <v>32</v>
      </c>
      <c r="E32" s="9">
        <v>8</v>
      </c>
      <c r="F32" s="9">
        <v>123</v>
      </c>
      <c r="G32" s="9">
        <v>256</v>
      </c>
      <c r="H32" s="13" t="str">
        <f t="shared" si="4"/>
        <v>linux-d32v3-standard</v>
      </c>
      <c r="I32" s="16">
        <f t="shared" si="5"/>
        <v>2004.58</v>
      </c>
      <c r="J32" s="13" t="str">
        <f t="shared" si="6"/>
        <v>windows-d32v3-standard</v>
      </c>
      <c r="K32" s="13" t="e">
        <f t="shared" si="1"/>
        <v>#VALUE!</v>
      </c>
      <c r="L32" s="15" t="e">
        <f t="shared" si="2"/>
        <v>#VALUE!</v>
      </c>
      <c r="M32" s="14" t="str">
        <f t="shared" si="3"/>
        <v>32</v>
      </c>
      <c r="N32" s="14" t="str">
        <f t="shared" si="7"/>
        <v>128</v>
      </c>
      <c r="O32" s="13"/>
      <c r="Q32" s="12"/>
    </row>
    <row r="33" spans="3:17">
      <c r="C33" s="9" t="str">
        <f t="shared" si="0"/>
        <v>Virtual Server 32 Cores, 16GB</v>
      </c>
      <c r="D33" s="9">
        <v>32</v>
      </c>
      <c r="E33" s="9">
        <v>16</v>
      </c>
      <c r="F33" s="9">
        <v>51</v>
      </c>
      <c r="G33" s="9">
        <v>128</v>
      </c>
      <c r="H33" s="13" t="str">
        <f t="shared" si="4"/>
        <v>linux-d32v3-standard</v>
      </c>
      <c r="I33" s="16">
        <f t="shared" si="5"/>
        <v>2004.58</v>
      </c>
      <c r="J33" s="13" t="str">
        <f t="shared" si="6"/>
        <v>windows-d32v3-standard</v>
      </c>
      <c r="K33" s="13" t="e">
        <f t="shared" si="1"/>
        <v>#VALUE!</v>
      </c>
      <c r="L33" s="15" t="e">
        <f t="shared" si="2"/>
        <v>#VALUE!</v>
      </c>
      <c r="M33" s="14" t="str">
        <f t="shared" si="3"/>
        <v>32</v>
      </c>
      <c r="N33" s="14" t="str">
        <f t="shared" si="7"/>
        <v>128</v>
      </c>
      <c r="O33" s="13"/>
      <c r="Q33" s="12"/>
    </row>
    <row r="34" spans="3:17">
      <c r="C34" s="9" t="str">
        <f t="shared" si="0"/>
        <v>Virtual Server 32 Cores, 32GB</v>
      </c>
      <c r="D34" s="9">
        <v>32</v>
      </c>
      <c r="E34" s="9">
        <v>32</v>
      </c>
      <c r="F34" s="9">
        <v>145</v>
      </c>
      <c r="G34" s="9">
        <v>256</v>
      </c>
      <c r="H34" s="13" t="str">
        <f t="shared" si="4"/>
        <v>linux-d32v3-standard</v>
      </c>
      <c r="I34" s="16">
        <f t="shared" si="5"/>
        <v>2004.58</v>
      </c>
      <c r="J34" s="13" t="str">
        <f t="shared" si="6"/>
        <v>windows-d32v3-standard</v>
      </c>
      <c r="K34" s="13" t="e">
        <f t="shared" si="1"/>
        <v>#VALUE!</v>
      </c>
      <c r="L34" s="15" t="e">
        <f t="shared" si="2"/>
        <v>#VALUE!</v>
      </c>
      <c r="M34" s="14" t="str">
        <f t="shared" si="3"/>
        <v>32</v>
      </c>
      <c r="N34" s="14" t="str">
        <f t="shared" si="7"/>
        <v>128</v>
      </c>
      <c r="O34" s="13"/>
      <c r="Q34" s="12"/>
    </row>
    <row r="35" spans="3:17">
      <c r="C35" s="9" t="str">
        <f t="shared" si="0"/>
        <v>Virtual Server 32 Cores, 64GB</v>
      </c>
      <c r="D35" s="9">
        <v>32</v>
      </c>
      <c r="E35" s="9">
        <v>64</v>
      </c>
      <c r="F35" s="9">
        <v>46</v>
      </c>
      <c r="G35" s="9">
        <v>64</v>
      </c>
      <c r="H35" s="13" t="str">
        <f t="shared" si="4"/>
        <v>linux-d32v3-standard</v>
      </c>
      <c r="I35" s="16">
        <f t="shared" si="5"/>
        <v>2004.58</v>
      </c>
      <c r="J35" s="13" t="str">
        <f t="shared" si="6"/>
        <v>windows-d32v3-standard</v>
      </c>
      <c r="K35" s="13" t="e">
        <f t="shared" si="1"/>
        <v>#VALUE!</v>
      </c>
      <c r="L35" s="15" t="e">
        <f t="shared" si="2"/>
        <v>#VALUE!</v>
      </c>
      <c r="M35" s="14" t="str">
        <f t="shared" si="3"/>
        <v>32</v>
      </c>
      <c r="N35" s="14" t="str">
        <f t="shared" si="7"/>
        <v>128</v>
      </c>
      <c r="O35" s="13"/>
      <c r="Q35" s="12"/>
    </row>
    <row r="36" spans="3:17">
      <c r="C36" s="9" t="str">
        <f t="shared" si="0"/>
        <v>Virtual Server 32 Cores, 128GB</v>
      </c>
      <c r="D36" s="9">
        <v>32</v>
      </c>
      <c r="E36" s="9">
        <v>128</v>
      </c>
      <c r="F36" s="9">
        <v>173</v>
      </c>
      <c r="G36" s="9">
        <v>256</v>
      </c>
      <c r="H36" s="13" t="str">
        <f t="shared" si="4"/>
        <v>linux-d32v3-standard</v>
      </c>
      <c r="I36" s="16">
        <f t="shared" si="5"/>
        <v>2004.58</v>
      </c>
      <c r="J36" s="13" t="str">
        <f t="shared" si="6"/>
        <v>windows-d32v3-standard</v>
      </c>
      <c r="K36" s="13" t="e">
        <f t="shared" si="1"/>
        <v>#VALUE!</v>
      </c>
      <c r="L36" s="15" t="e">
        <f t="shared" si="2"/>
        <v>#VALUE!</v>
      </c>
      <c r="M36" s="14" t="str">
        <f t="shared" si="3"/>
        <v>32</v>
      </c>
      <c r="N36" s="14" t="str">
        <f t="shared" si="7"/>
        <v>128</v>
      </c>
      <c r="O36" s="13"/>
      <c r="Q36" s="12"/>
    </row>
    <row r="37" spans="3:17">
      <c r="C37" s="9" t="str">
        <f t="shared" si="0"/>
        <v>Virtual Server 32 Cores, 256GB</v>
      </c>
      <c r="D37" s="9">
        <v>32</v>
      </c>
      <c r="E37" s="9">
        <v>256</v>
      </c>
      <c r="F37" s="9">
        <v>122</v>
      </c>
      <c r="G37" s="9">
        <v>160</v>
      </c>
      <c r="H37" s="13" t="str">
        <f t="shared" si="4"/>
        <v>linux-e32v3-standard</v>
      </c>
      <c r="I37" s="16">
        <f t="shared" si="5"/>
        <v>2672.53</v>
      </c>
      <c r="J37" s="13" t="str">
        <f t="shared" si="6"/>
        <v>windows-e32v3-standard</v>
      </c>
      <c r="K37" s="13" t="e">
        <f t="shared" si="1"/>
        <v>#VALUE!</v>
      </c>
      <c r="L37" s="15" t="e">
        <f t="shared" si="2"/>
        <v>#VALUE!</v>
      </c>
      <c r="M37" s="14" t="str">
        <f t="shared" si="3"/>
        <v>32</v>
      </c>
      <c r="N37" s="14" t="str">
        <f t="shared" si="7"/>
        <v>256</v>
      </c>
      <c r="O37" s="13"/>
      <c r="Q37" s="12"/>
    </row>
    <row r="38" spans="3:17">
      <c r="C38" s="9" t="str">
        <f t="shared" si="0"/>
        <v>Virtual Server 64 Cores, 128GB</v>
      </c>
      <c r="D38" s="9">
        <v>64</v>
      </c>
      <c r="E38" s="9">
        <v>128</v>
      </c>
      <c r="F38" s="9">
        <v>195</v>
      </c>
      <c r="G38" s="9">
        <v>64</v>
      </c>
      <c r="H38" s="13" t="str">
        <f t="shared" si="4"/>
        <v>linux-d64v3-standard</v>
      </c>
      <c r="I38" s="16">
        <f t="shared" si="5"/>
        <v>4008.43</v>
      </c>
      <c r="J38" s="13" t="str">
        <f t="shared" si="6"/>
        <v>windows-d64v3-standard</v>
      </c>
      <c r="K38" s="13" t="e">
        <f t="shared" si="1"/>
        <v>#VALUE!</v>
      </c>
      <c r="L38" s="15" t="e">
        <f t="shared" si="2"/>
        <v>#VALUE!</v>
      </c>
      <c r="M38" s="14" t="str">
        <f t="shared" si="3"/>
        <v>64</v>
      </c>
      <c r="N38" s="14" t="str">
        <f t="shared" si="7"/>
        <v>256</v>
      </c>
      <c r="O38" s="13"/>
      <c r="Q38" s="12"/>
    </row>
    <row r="39" spans="3:17">
      <c r="C39" s="9" t="str">
        <f t="shared" si="0"/>
        <v>Virtual Server 64 Cores, 256GB</v>
      </c>
      <c r="D39" s="9">
        <v>64</v>
      </c>
      <c r="E39" s="9">
        <v>256</v>
      </c>
      <c r="F39" s="9">
        <v>10</v>
      </c>
      <c r="G39" s="9">
        <v>128</v>
      </c>
      <c r="H39" s="13" t="str">
        <f t="shared" si="4"/>
        <v>linux-d64v3-standard</v>
      </c>
      <c r="I39" s="16">
        <f t="shared" si="5"/>
        <v>4008.43</v>
      </c>
      <c r="J39" s="13" t="str">
        <f t="shared" si="6"/>
        <v>windows-d64v3-standard</v>
      </c>
      <c r="K39" s="13" t="e">
        <f t="shared" si="1"/>
        <v>#VALUE!</v>
      </c>
      <c r="L39" s="15" t="e">
        <f t="shared" si="2"/>
        <v>#VALUE!</v>
      </c>
      <c r="M39" s="14" t="str">
        <f t="shared" si="3"/>
        <v>64</v>
      </c>
      <c r="N39" s="14" t="str">
        <f t="shared" si="7"/>
        <v>256</v>
      </c>
      <c r="O39" s="13"/>
      <c r="Q39" s="12"/>
    </row>
    <row r="40" spans="3:17">
      <c r="C40" s="9" t="str">
        <f t="shared" si="0"/>
        <v>Virtual Server 64 Cores, 512GB</v>
      </c>
      <c r="D40" s="9">
        <v>64</v>
      </c>
      <c r="E40" s="9">
        <v>512</v>
      </c>
      <c r="F40" s="9">
        <v>184</v>
      </c>
      <c r="G40" s="9">
        <v>256</v>
      </c>
      <c r="H40" s="38" t="e">
        <f t="shared" si="4"/>
        <v>#VALUE!</v>
      </c>
      <c r="I40" s="39" t="e">
        <f t="shared" si="5"/>
        <v>#VALUE!</v>
      </c>
      <c r="J40" s="38" t="e">
        <f t="shared" si="6"/>
        <v>#VALUE!</v>
      </c>
      <c r="K40" s="13" t="e">
        <f t="shared" si="1"/>
        <v>#VALUE!</v>
      </c>
      <c r="L40" s="15" t="e">
        <f t="shared" si="2"/>
        <v>#VALUE!</v>
      </c>
      <c r="M40" s="14" t="e">
        <f t="shared" si="3"/>
        <v>#VALUE!</v>
      </c>
      <c r="N40" s="14" t="e">
        <f t="shared" si="7"/>
        <v>#VALUE!</v>
      </c>
      <c r="O40" s="13"/>
      <c r="Q40" s="12"/>
    </row>
    <row r="41" spans="3:17">
      <c r="C41" s="9" t="str">
        <f t="shared" si="0"/>
        <v>Virtual Server 64 Cores, 1024GB</v>
      </c>
      <c r="D41" s="9">
        <v>64</v>
      </c>
      <c r="E41" s="9">
        <v>1024</v>
      </c>
      <c r="F41" s="9">
        <v>73</v>
      </c>
      <c r="G41" s="9">
        <v>256</v>
      </c>
      <c r="H41" s="13" t="e">
        <f t="shared" si="4"/>
        <v>#VALUE!</v>
      </c>
      <c r="I41" s="16" t="e">
        <f t="shared" si="5"/>
        <v>#VALUE!</v>
      </c>
      <c r="J41" s="13" t="e">
        <f t="shared" si="6"/>
        <v>#VALUE!</v>
      </c>
      <c r="K41" s="13" t="e">
        <f t="shared" si="1"/>
        <v>#VALUE!</v>
      </c>
      <c r="L41" s="15" t="e">
        <f t="shared" si="2"/>
        <v>#VALUE!</v>
      </c>
      <c r="M41" s="14" t="e">
        <f t="shared" si="3"/>
        <v>#VALUE!</v>
      </c>
      <c r="N41" s="14" t="e">
        <f t="shared" si="7"/>
        <v>#VALUE!</v>
      </c>
      <c r="O41" s="13"/>
      <c r="Q41" s="12"/>
    </row>
    <row r="42" spans="3:17">
      <c r="C42" s="9" t="str">
        <f t="shared" si="0"/>
        <v>Virtual Server 64 Cores, 2048GB</v>
      </c>
      <c r="D42" s="9">
        <v>64</v>
      </c>
      <c r="E42" s="9">
        <v>2048</v>
      </c>
      <c r="F42" s="9">
        <v>67</v>
      </c>
      <c r="G42" s="9">
        <v>224</v>
      </c>
      <c r="H42" s="13" t="e">
        <f t="shared" si="4"/>
        <v>#VALUE!</v>
      </c>
      <c r="I42" s="16" t="e">
        <f t="shared" si="5"/>
        <v>#VALUE!</v>
      </c>
      <c r="J42" s="13" t="e">
        <f t="shared" si="6"/>
        <v>#VALUE!</v>
      </c>
      <c r="K42" s="13" t="e">
        <f t="shared" si="1"/>
        <v>#VALUE!</v>
      </c>
      <c r="L42" s="15" t="e">
        <f t="shared" si="2"/>
        <v>#VALUE!</v>
      </c>
      <c r="M42" s="14" t="e">
        <f t="shared" si="3"/>
        <v>#VALUE!</v>
      </c>
      <c r="N42" s="14" t="e">
        <f t="shared" si="7"/>
        <v>#VALUE!</v>
      </c>
      <c r="O42" s="13"/>
      <c r="Q42" s="12"/>
    </row>
    <row r="43" spans="3:17">
      <c r="C43" s="9" t="str">
        <f t="shared" si="0"/>
        <v>Virtual Server 50 Cores, 3800GB</v>
      </c>
      <c r="D43" s="9">
        <v>50</v>
      </c>
      <c r="E43" s="9">
        <v>3800</v>
      </c>
      <c r="F43" s="9">
        <v>184</v>
      </c>
      <c r="G43" s="9">
        <v>256</v>
      </c>
      <c r="H43" s="13" t="e">
        <f t="shared" si="4"/>
        <v>#VALUE!</v>
      </c>
      <c r="I43" s="16" t="e">
        <f t="shared" si="5"/>
        <v>#VALUE!</v>
      </c>
      <c r="J43" s="13" t="e">
        <f t="shared" si="6"/>
        <v>#VALUE!</v>
      </c>
      <c r="K43" s="13" t="e">
        <f t="shared" si="1"/>
        <v>#VALUE!</v>
      </c>
      <c r="L43" s="15" t="e">
        <f t="shared" si="2"/>
        <v>#VALUE!</v>
      </c>
      <c r="M43" s="14" t="e">
        <f t="shared" si="3"/>
        <v>#VALUE!</v>
      </c>
      <c r="N43" s="14" t="e">
        <f t="shared" si="7"/>
        <v>#VALUE!</v>
      </c>
      <c r="O43" s="13"/>
      <c r="Q43" s="12"/>
    </row>
    <row r="44" spans="3:17">
      <c r="C44" s="9" t="str">
        <f t="shared" si="0"/>
        <v>Virtual Server 74 Cores, 128GB</v>
      </c>
      <c r="D44" s="9">
        <v>74</v>
      </c>
      <c r="E44" s="9">
        <v>128</v>
      </c>
      <c r="F44" s="9">
        <v>19</v>
      </c>
      <c r="G44" s="9">
        <v>192</v>
      </c>
      <c r="H44" s="13" t="e">
        <f t="shared" si="4"/>
        <v>#VALUE!</v>
      </c>
      <c r="I44" s="16" t="e">
        <f t="shared" si="5"/>
        <v>#VALUE!</v>
      </c>
      <c r="J44" s="13" t="e">
        <f t="shared" si="6"/>
        <v>#VALUE!</v>
      </c>
      <c r="K44" s="38" t="e">
        <f t="shared" si="1"/>
        <v>#VALUE!</v>
      </c>
      <c r="L44" s="15" t="e">
        <f t="shared" si="2"/>
        <v>#VALUE!</v>
      </c>
      <c r="M44" s="14" t="e">
        <f t="shared" si="3"/>
        <v>#VALUE!</v>
      </c>
      <c r="N44" s="14" t="e">
        <f t="shared" si="7"/>
        <v>#VALUE!</v>
      </c>
      <c r="O44" s="13"/>
      <c r="Q44" s="12"/>
    </row>
    <row r="45" spans="3:17">
      <c r="C45" s="9" t="str">
        <f t="shared" si="0"/>
        <v>Virtual Server 74 Cores, 256GB</v>
      </c>
      <c r="D45" s="9">
        <v>74</v>
      </c>
      <c r="E45" s="9">
        <v>256</v>
      </c>
      <c r="F45" s="9">
        <v>172</v>
      </c>
      <c r="G45" s="9">
        <v>128</v>
      </c>
      <c r="H45" s="13" t="e">
        <f t="shared" si="4"/>
        <v>#VALUE!</v>
      </c>
      <c r="I45" s="16" t="e">
        <f t="shared" si="5"/>
        <v>#VALUE!</v>
      </c>
      <c r="J45" s="13" t="e">
        <f t="shared" si="6"/>
        <v>#VALUE!</v>
      </c>
      <c r="K45" s="38" t="e">
        <f t="shared" si="1"/>
        <v>#VALUE!</v>
      </c>
      <c r="L45" s="15" t="e">
        <f t="shared" si="2"/>
        <v>#VALUE!</v>
      </c>
      <c r="M45" s="14" t="e">
        <f t="shared" si="3"/>
        <v>#VALUE!</v>
      </c>
      <c r="N45" s="14" t="e">
        <f t="shared" si="7"/>
        <v>#VALUE!</v>
      </c>
      <c r="O45" s="13"/>
      <c r="Q45" s="12"/>
    </row>
    <row r="46" spans="3:17">
      <c r="C46" s="9" t="str">
        <f t="shared" si="0"/>
        <v>Virtual Server 74 Cores, 512GB</v>
      </c>
      <c r="D46" s="9">
        <v>74</v>
      </c>
      <c r="E46" s="9">
        <v>512</v>
      </c>
      <c r="F46" s="9">
        <v>108</v>
      </c>
      <c r="G46" s="9">
        <v>288</v>
      </c>
      <c r="H46" s="13" t="e">
        <f t="shared" si="4"/>
        <v>#VALUE!</v>
      </c>
      <c r="I46" s="16" t="e">
        <f t="shared" si="5"/>
        <v>#VALUE!</v>
      </c>
      <c r="J46" s="13" t="e">
        <f t="shared" si="6"/>
        <v>#VALUE!</v>
      </c>
      <c r="K46" s="13" t="e">
        <f t="shared" si="1"/>
        <v>#VALUE!</v>
      </c>
      <c r="L46" s="15" t="e">
        <f t="shared" si="2"/>
        <v>#VALUE!</v>
      </c>
      <c r="M46" s="14" t="e">
        <f t="shared" si="3"/>
        <v>#VALUE!</v>
      </c>
      <c r="N46" s="14" t="e">
        <f t="shared" si="7"/>
        <v>#VALUE!</v>
      </c>
      <c r="O46" s="13"/>
      <c r="Q46" s="12"/>
    </row>
    <row r="47" spans="3:17">
      <c r="C47" s="9" t="str">
        <f t="shared" si="0"/>
        <v>Virtual Server 74 Cores, 1024GB</v>
      </c>
      <c r="D47" s="9">
        <v>74</v>
      </c>
      <c r="E47" s="9">
        <v>1024</v>
      </c>
      <c r="F47" s="9">
        <v>33</v>
      </c>
      <c r="G47" s="9">
        <v>256</v>
      </c>
      <c r="H47" s="13" t="e">
        <f t="shared" si="4"/>
        <v>#VALUE!</v>
      </c>
      <c r="I47" s="16" t="e">
        <f t="shared" si="5"/>
        <v>#VALUE!</v>
      </c>
      <c r="J47" s="13" t="e">
        <f t="shared" si="6"/>
        <v>#VALUE!</v>
      </c>
      <c r="K47" s="13" t="e">
        <f t="shared" si="1"/>
        <v>#VALUE!</v>
      </c>
      <c r="L47" s="15" t="e">
        <f t="shared" si="2"/>
        <v>#VALUE!</v>
      </c>
      <c r="M47" s="14" t="e">
        <f t="shared" si="3"/>
        <v>#VALUE!</v>
      </c>
      <c r="N47" s="14" t="e">
        <f t="shared" si="7"/>
        <v>#VALUE!</v>
      </c>
      <c r="O47" s="13"/>
      <c r="Q47" s="12"/>
    </row>
    <row r="48" spans="3:17">
      <c r="C48" s="9" t="str">
        <f t="shared" si="0"/>
        <v>Virtual Server 74 Cores, 2048GB</v>
      </c>
      <c r="D48" s="9">
        <v>74</v>
      </c>
      <c r="E48" s="9">
        <v>2048</v>
      </c>
      <c r="F48" s="9">
        <v>19</v>
      </c>
      <c r="G48" s="9">
        <v>256</v>
      </c>
      <c r="H48" s="13" t="e">
        <f t="shared" si="4"/>
        <v>#VALUE!</v>
      </c>
      <c r="I48" s="16" t="e">
        <f t="shared" si="5"/>
        <v>#VALUE!</v>
      </c>
      <c r="J48" s="13" t="e">
        <f t="shared" si="6"/>
        <v>#VALUE!</v>
      </c>
      <c r="K48" s="13" t="e">
        <f t="shared" si="1"/>
        <v>#VALUE!</v>
      </c>
      <c r="L48" s="15" t="e">
        <f t="shared" si="2"/>
        <v>#VALUE!</v>
      </c>
      <c r="M48" s="14" t="e">
        <f t="shared" si="3"/>
        <v>#VALUE!</v>
      </c>
      <c r="N48" s="14" t="e">
        <f t="shared" si="7"/>
        <v>#VALUE!</v>
      </c>
      <c r="O48" s="13"/>
      <c r="Q48" s="12"/>
    </row>
    <row r="49" spans="3:18">
      <c r="C49" s="9" t="str">
        <f t="shared" si="0"/>
        <v>Virtual Server 74 Cores, 3800GB</v>
      </c>
      <c r="D49" s="9">
        <v>74</v>
      </c>
      <c r="E49" s="9">
        <v>3800</v>
      </c>
      <c r="F49" s="9">
        <v>132</v>
      </c>
      <c r="G49" s="9">
        <v>32</v>
      </c>
      <c r="H49" s="13" t="e">
        <f t="shared" si="4"/>
        <v>#VALUE!</v>
      </c>
      <c r="I49" s="16" t="e">
        <f t="shared" si="5"/>
        <v>#VALUE!</v>
      </c>
      <c r="J49" s="13" t="e">
        <f t="shared" si="6"/>
        <v>#VALUE!</v>
      </c>
      <c r="K49" s="13" t="e">
        <f t="shared" si="1"/>
        <v>#VALUE!</v>
      </c>
      <c r="L49" s="15" t="e">
        <f t="shared" si="2"/>
        <v>#VALUE!</v>
      </c>
      <c r="M49" s="14" t="e">
        <f t="shared" si="3"/>
        <v>#VALUE!</v>
      </c>
      <c r="N49" s="14" t="e">
        <f t="shared" si="7"/>
        <v>#VALUE!</v>
      </c>
      <c r="O49" s="13"/>
      <c r="Q49" s="12"/>
    </row>
    <row r="50" spans="3:18">
      <c r="J50" s="11"/>
      <c r="K50" s="11"/>
      <c r="L50" s="11"/>
      <c r="M50" s="12"/>
      <c r="N50" s="12"/>
      <c r="P50" s="11"/>
      <c r="Q50" s="12"/>
      <c r="R50" s="11"/>
    </row>
  </sheetData>
  <dataValidations count="1">
    <dataValidation type="list" allowBlank="1" showInputMessage="1" showErrorMessage="1" sqref="A14" xr:uid="{AEC2CD28-0AB8-48A6-AC38-E22E26ACA727}">
      <formula1>"lowpriority,standard"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DAD15D8-FF4E-4AE2-9C88-1E99E7312F06}">
          <x14:formula1>
            <xm:f>'Cheat Sheet'!$I$4:$I$27</xm:f>
          </x14:formula1>
          <xm:sqref>A10</xm:sqref>
        </x14:dataValidation>
        <x14:dataValidation type="list" allowBlank="1" showInputMessage="1" showErrorMessage="1" xr:uid="{8D36761A-6475-4FE6-B0CF-DE19342BC615}">
          <x14:formula1>
            <xm:f>'Cheat Sheet'!$G$4:$G$45</xm:f>
          </x14:formula1>
          <xm:sqref>A8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232CB-AEB2-4A94-A47B-080D86EF6D83}">
  <sheetPr codeName="Sheet2"/>
  <dimension ref="B3:I45"/>
  <sheetViews>
    <sheetView topLeftCell="A17" workbookViewId="0">
      <selection activeCell="G46" sqref="G46"/>
    </sheetView>
  </sheetViews>
  <sheetFormatPr defaultColWidth="8.7265625" defaultRowHeight="14.5"/>
  <cols>
    <col min="1" max="1" width="8.7265625" style="8"/>
    <col min="2" max="2" width="30.81640625" style="8" customWidth="1"/>
    <col min="3" max="4" width="24.81640625" style="8" bestFit="1" customWidth="1"/>
    <col min="5" max="5" width="17.81640625" style="8" bestFit="1" customWidth="1"/>
    <col min="6" max="6" width="42.54296875" style="8" bestFit="1" customWidth="1"/>
    <col min="7" max="7" width="27.26953125" style="8" customWidth="1"/>
    <col min="8" max="8" width="19" style="8" customWidth="1"/>
    <col min="9" max="16384" width="8.7265625" style="8"/>
  </cols>
  <sheetData>
    <row r="3" spans="2:9" ht="26.5">
      <c r="B3" s="19" t="s">
        <v>114</v>
      </c>
      <c r="G3" s="19" t="s">
        <v>113</v>
      </c>
      <c r="H3" s="19" t="s">
        <v>25</v>
      </c>
      <c r="I3" s="19" t="s">
        <v>112</v>
      </c>
    </row>
    <row r="4" spans="2:9">
      <c r="G4" s="36" t="s">
        <v>111</v>
      </c>
      <c r="I4" s="8" t="s">
        <v>99</v>
      </c>
    </row>
    <row r="5" spans="2:9">
      <c r="G5" s="36" t="s">
        <v>109</v>
      </c>
      <c r="I5" s="8" t="s">
        <v>105</v>
      </c>
    </row>
    <row r="6" spans="2:9" ht="23.5">
      <c r="B6" s="19" t="s">
        <v>107</v>
      </c>
      <c r="G6" s="36" t="s">
        <v>106</v>
      </c>
      <c r="I6" s="8" t="s">
        <v>164</v>
      </c>
    </row>
    <row r="7" spans="2:9" ht="21">
      <c r="B7" s="21" t="s">
        <v>104</v>
      </c>
      <c r="G7" s="36" t="s">
        <v>103</v>
      </c>
      <c r="I7" s="8" t="s">
        <v>165</v>
      </c>
    </row>
    <row r="8" spans="2:9">
      <c r="B8" s="8" t="s">
        <v>101</v>
      </c>
      <c r="G8" s="36" t="s">
        <v>100</v>
      </c>
      <c r="I8" s="8" t="s">
        <v>108</v>
      </c>
    </row>
    <row r="9" spans="2:9">
      <c r="B9" s="8" t="s">
        <v>98</v>
      </c>
      <c r="G9" s="36" t="s">
        <v>97</v>
      </c>
      <c r="I9" s="8" t="s">
        <v>88</v>
      </c>
    </row>
    <row r="10" spans="2:9">
      <c r="B10" s="8" t="s">
        <v>95</v>
      </c>
      <c r="G10" s="36" t="s">
        <v>94</v>
      </c>
      <c r="I10" s="8" t="s">
        <v>93</v>
      </c>
    </row>
    <row r="11" spans="2:9">
      <c r="G11" s="36" t="s">
        <v>92</v>
      </c>
      <c r="I11" s="8" t="s">
        <v>166</v>
      </c>
    </row>
    <row r="12" spans="2:9">
      <c r="B12" s="2" t="s">
        <v>90</v>
      </c>
      <c r="G12" s="36" t="s">
        <v>89</v>
      </c>
      <c r="I12" s="8" t="s">
        <v>91</v>
      </c>
    </row>
    <row r="13" spans="2:9">
      <c r="B13" s="20" t="s">
        <v>87</v>
      </c>
      <c r="C13" s="8" t="s">
        <v>86</v>
      </c>
      <c r="G13" s="36" t="s">
        <v>85</v>
      </c>
      <c r="I13" s="8" t="s">
        <v>167</v>
      </c>
    </row>
    <row r="14" spans="2:9">
      <c r="B14" s="2" t="s">
        <v>84</v>
      </c>
      <c r="C14" s="8" t="s">
        <v>83</v>
      </c>
      <c r="G14" s="36" t="s">
        <v>82</v>
      </c>
      <c r="I14" s="8" t="s">
        <v>110</v>
      </c>
    </row>
    <row r="15" spans="2:9">
      <c r="B15" s="2" t="s">
        <v>81</v>
      </c>
      <c r="C15" s="8" t="s">
        <v>80</v>
      </c>
      <c r="G15" s="36" t="s">
        <v>79</v>
      </c>
      <c r="I15" s="8" t="s">
        <v>168</v>
      </c>
    </row>
    <row r="16" spans="2:9">
      <c r="B16" s="2" t="s">
        <v>78</v>
      </c>
      <c r="C16" s="8" t="s">
        <v>77</v>
      </c>
      <c r="G16" s="36" t="s">
        <v>76</v>
      </c>
      <c r="I16" s="8" t="s">
        <v>169</v>
      </c>
    </row>
    <row r="17" spans="2:9">
      <c r="G17" s="36" t="s">
        <v>75</v>
      </c>
      <c r="I17" s="8" t="s">
        <v>170</v>
      </c>
    </row>
    <row r="18" spans="2:9">
      <c r="G18" s="36" t="s">
        <v>74</v>
      </c>
      <c r="I18" s="8" t="s">
        <v>171</v>
      </c>
    </row>
    <row r="19" spans="2:9">
      <c r="G19" s="36" t="s">
        <v>73</v>
      </c>
      <c r="I19" s="8" t="s">
        <v>172</v>
      </c>
    </row>
    <row r="20" spans="2:9" ht="23.5">
      <c r="B20" s="19" t="s">
        <v>72</v>
      </c>
      <c r="G20" s="36" t="s">
        <v>71</v>
      </c>
      <c r="I20" s="8" t="s">
        <v>173</v>
      </c>
    </row>
    <row r="21" spans="2:9">
      <c r="B21" s="8" t="s">
        <v>70</v>
      </c>
      <c r="G21" s="36" t="s">
        <v>69</v>
      </c>
      <c r="I21" s="8" t="s">
        <v>174</v>
      </c>
    </row>
    <row r="22" spans="2:9">
      <c r="B22" s="8" t="s">
        <v>68</v>
      </c>
      <c r="G22" s="36" t="s">
        <v>67</v>
      </c>
      <c r="I22" s="8" t="s">
        <v>102</v>
      </c>
    </row>
    <row r="23" spans="2:9">
      <c r="B23" s="8" t="s">
        <v>66</v>
      </c>
      <c r="G23" s="36" t="s">
        <v>65</v>
      </c>
      <c r="I23" s="8" t="s">
        <v>175</v>
      </c>
    </row>
    <row r="24" spans="2:9">
      <c r="G24" s="36" t="s">
        <v>64</v>
      </c>
      <c r="I24" s="8" t="s">
        <v>176</v>
      </c>
    </row>
    <row r="25" spans="2:9">
      <c r="B25" s="20" t="s">
        <v>63</v>
      </c>
      <c r="G25" s="36" t="s">
        <v>62</v>
      </c>
      <c r="I25" s="8" t="s">
        <v>177</v>
      </c>
    </row>
    <row r="26" spans="2:9">
      <c r="B26" s="20" t="s">
        <v>7</v>
      </c>
      <c r="C26" s="8" t="s">
        <v>61</v>
      </c>
      <c r="G26" s="36" t="s">
        <v>203</v>
      </c>
      <c r="I26" s="8" t="s">
        <v>96</v>
      </c>
    </row>
    <row r="27" spans="2:9">
      <c r="B27" s="2" t="s">
        <v>5</v>
      </c>
      <c r="C27" s="8" t="s">
        <v>59</v>
      </c>
      <c r="G27" s="36" t="s">
        <v>204</v>
      </c>
      <c r="I27" s="8" t="s">
        <v>178</v>
      </c>
    </row>
    <row r="28" spans="2:9">
      <c r="B28" s="2" t="s">
        <v>6</v>
      </c>
      <c r="C28" s="8" t="s">
        <v>57</v>
      </c>
      <c r="G28" s="36" t="s">
        <v>60</v>
      </c>
    </row>
    <row r="29" spans="2:9">
      <c r="B29" s="2" t="s">
        <v>4</v>
      </c>
      <c r="C29" s="8" t="s">
        <v>55</v>
      </c>
      <c r="G29" s="36" t="s">
        <v>58</v>
      </c>
    </row>
    <row r="30" spans="2:9">
      <c r="B30" s="2" t="s">
        <v>3</v>
      </c>
      <c r="C30" s="8" t="s">
        <v>54</v>
      </c>
      <c r="G30" s="36" t="s">
        <v>56</v>
      </c>
    </row>
    <row r="31" spans="2:9">
      <c r="B31" s="2" t="s">
        <v>2</v>
      </c>
      <c r="C31" s="8" t="s">
        <v>52</v>
      </c>
      <c r="G31" s="36" t="s">
        <v>18</v>
      </c>
    </row>
    <row r="32" spans="2:9">
      <c r="B32" s="2" t="s">
        <v>1</v>
      </c>
      <c r="C32" s="8" t="s">
        <v>50</v>
      </c>
      <c r="G32" s="36" t="s">
        <v>53</v>
      </c>
    </row>
    <row r="33" spans="2:7">
      <c r="G33" s="36" t="s">
        <v>51</v>
      </c>
    </row>
    <row r="34" spans="2:7" ht="23.5">
      <c r="B34" s="19" t="s">
        <v>47</v>
      </c>
      <c r="G34" s="36" t="s">
        <v>49</v>
      </c>
    </row>
    <row r="35" spans="2:7">
      <c r="G35" s="36" t="s">
        <v>48</v>
      </c>
    </row>
    <row r="36" spans="2:7">
      <c r="G36" s="36" t="s">
        <v>46</v>
      </c>
    </row>
    <row r="37" spans="2:7">
      <c r="G37" s="36" t="s">
        <v>26</v>
      </c>
    </row>
    <row r="38" spans="2:7">
      <c r="G38" s="36" t="s">
        <v>45</v>
      </c>
    </row>
    <row r="39" spans="2:7">
      <c r="G39" s="36" t="s">
        <v>206</v>
      </c>
    </row>
    <row r="40" spans="2:7">
      <c r="G40" s="36" t="s">
        <v>44</v>
      </c>
    </row>
    <row r="41" spans="2:7">
      <c r="G41" s="36" t="s">
        <v>43</v>
      </c>
    </row>
    <row r="42" spans="2:7">
      <c r="G42" s="36" t="s">
        <v>207</v>
      </c>
    </row>
    <row r="43" spans="2:7">
      <c r="G43" s="36" t="s">
        <v>208</v>
      </c>
    </row>
    <row r="44" spans="2:7">
      <c r="G44" s="8" t="s">
        <v>209</v>
      </c>
    </row>
    <row r="45" spans="2:7">
      <c r="G45" s="8" t="s">
        <v>210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03094-BE88-443F-9484-FB154321BFB8}">
  <sheetPr codeName="Sheet8"/>
  <dimension ref="A1:R57"/>
  <sheetViews>
    <sheetView workbookViewId="0">
      <selection activeCell="A14" sqref="A14"/>
    </sheetView>
  </sheetViews>
  <sheetFormatPr defaultColWidth="8.7265625" defaultRowHeight="14.5"/>
  <cols>
    <col min="1" max="5" width="8.7265625" style="8"/>
    <col min="6" max="6" width="36.81640625" style="8" customWidth="1"/>
    <col min="7" max="7" width="13" style="8" customWidth="1"/>
    <col min="8" max="8" width="12.7265625" style="8" customWidth="1"/>
    <col min="9" max="9" width="12.81640625" style="8" customWidth="1"/>
    <col min="10" max="10" width="12" style="8" customWidth="1"/>
    <col min="11" max="11" width="12" style="8" bestFit="1" customWidth="1"/>
    <col min="12" max="12" width="12.54296875" style="8" customWidth="1"/>
    <col min="13" max="13" width="18.7265625" style="8" customWidth="1"/>
    <col min="14" max="17" width="8.7265625" style="8"/>
    <col min="18" max="18" width="25.54296875" style="8" customWidth="1"/>
    <col min="19" max="16384" width="8.7265625" style="8"/>
  </cols>
  <sheetData>
    <row r="1" spans="1:18">
      <c r="F1" s="2" t="s">
        <v>163</v>
      </c>
      <c r="G1" s="35">
        <f>DATE(2019,3,20)</f>
        <v>43544</v>
      </c>
      <c r="H1" s="35">
        <f>G1+7</f>
        <v>43551</v>
      </c>
      <c r="I1" s="35">
        <f>H1+7</f>
        <v>43558</v>
      </c>
      <c r="J1" s="35">
        <f>I1+7</f>
        <v>43565</v>
      </c>
      <c r="K1" s="35">
        <f>J1+7</f>
        <v>43572</v>
      </c>
      <c r="L1" s="35">
        <f ca="1">TODAY()</f>
        <v>43791</v>
      </c>
      <c r="M1" s="2" t="s">
        <v>162</v>
      </c>
    </row>
    <row r="2" spans="1:18">
      <c r="B2" s="2" t="s">
        <v>161</v>
      </c>
      <c r="C2" s="2" t="s">
        <v>39</v>
      </c>
      <c r="D2" s="2" t="s">
        <v>160</v>
      </c>
      <c r="E2" s="2" t="s">
        <v>159</v>
      </c>
      <c r="G2" s="8" t="str">
        <f t="shared" ref="G2:L2" si="0">_xlfn.CONCAT(YEAR(G1),TEXT(G1,"mmdd"))</f>
        <v>20190320</v>
      </c>
      <c r="H2" s="8" t="str">
        <f t="shared" si="0"/>
        <v>20190327</v>
      </c>
      <c r="I2" s="8" t="str">
        <f t="shared" si="0"/>
        <v>20190403</v>
      </c>
      <c r="J2" s="8" t="str">
        <f t="shared" si="0"/>
        <v>20190410</v>
      </c>
      <c r="K2" s="8" t="str">
        <f t="shared" si="0"/>
        <v>20190417</v>
      </c>
      <c r="L2" s="8" t="str">
        <f t="shared" ca="1" si="0"/>
        <v>20191122</v>
      </c>
    </row>
    <row r="3" spans="1:18">
      <c r="A3" s="2" t="s">
        <v>158</v>
      </c>
      <c r="B3" s="8">
        <v>3</v>
      </c>
      <c r="C3" s="8">
        <v>1</v>
      </c>
      <c r="D3" s="8">
        <v>0</v>
      </c>
      <c r="F3" s="1" t="str">
        <f>getVM(C3,D3,$A$4,$A$10,$A$7,,"")</f>
        <v>linux-b1ls-standard</v>
      </c>
      <c r="G3" s="29" t="e">
        <f t="shared" ref="G3:L3" si="1">getVMPriceHour($F3,$A$4,$A$10,$A$7,G$2)</f>
        <v>#VALUE!</v>
      </c>
      <c r="H3" s="29" t="e">
        <f t="shared" si="1"/>
        <v>#VALUE!</v>
      </c>
      <c r="I3" s="29">
        <f t="shared" si="1"/>
        <v>5.1999999999999998E-3</v>
      </c>
      <c r="J3" s="29">
        <f t="shared" si="1"/>
        <v>5.1999999999999998E-3</v>
      </c>
      <c r="K3" s="29">
        <f t="shared" si="1"/>
        <v>5.1999999999999998E-3</v>
      </c>
      <c r="L3" s="29">
        <f t="shared" ca="1" si="1"/>
        <v>5.1999999999999998E-3</v>
      </c>
      <c r="M3" s="29"/>
      <c r="R3" s="27"/>
    </row>
    <row r="4" spans="1:18">
      <c r="A4" s="8">
        <v>0</v>
      </c>
      <c r="B4" s="8">
        <v>1</v>
      </c>
      <c r="C4" s="8">
        <v>1</v>
      </c>
      <c r="D4" s="8">
        <v>0</v>
      </c>
      <c r="F4" s="34" t="str">
        <f>_xlfn.CONCAT("Cheapest single core VM not ",$A$13)</f>
        <v>Cheapest single core VM not lowpriority</v>
      </c>
      <c r="G4" s="30">
        <f t="shared" ref="G4:L4" si="2">getVMPriceHour(getVM($C4,$D4,$A$4,$A$10,$A$7,,$E4,"lowpriority",G$2),$A$4,$A$10,$A$7,G$2)</f>
        <v>7.0000000000000001E-3</v>
      </c>
      <c r="H4" s="30">
        <f t="shared" si="2"/>
        <v>7.0000000000000001E-3</v>
      </c>
      <c r="I4" s="30">
        <f t="shared" si="2"/>
        <v>5.1999999999999998E-3</v>
      </c>
      <c r="J4" s="30">
        <f t="shared" si="2"/>
        <v>5.1999999999999998E-3</v>
      </c>
      <c r="K4" s="30">
        <f t="shared" si="2"/>
        <v>5.1999999999999998E-3</v>
      </c>
      <c r="L4" s="30">
        <f t="shared" ca="1" si="2"/>
        <v>5.1999999999999998E-3</v>
      </c>
      <c r="M4" s="28">
        <f t="shared" ref="M4:M35" ca="1" si="3">L4/G4</f>
        <v>0.74285714285714277</v>
      </c>
      <c r="R4" s="27"/>
    </row>
    <row r="5" spans="1:18">
      <c r="C5" s="8">
        <v>2</v>
      </c>
      <c r="D5" s="8">
        <v>1</v>
      </c>
      <c r="F5" s="1" t="str">
        <f>getVM(C5,D5,$A$4,$A$10,$A$7,$A$13,"linux-b",,$F$2)</f>
        <v>linux-b2s-standard</v>
      </c>
      <c r="G5" s="29">
        <f t="shared" ref="G5:L14" si="4">getVMPriceHour($F5,$A$4,$A$10,$A$7,G$2)</f>
        <v>4.1599999999999998E-2</v>
      </c>
      <c r="H5" s="29">
        <f t="shared" si="4"/>
        <v>4.1599999999999998E-2</v>
      </c>
      <c r="I5" s="29">
        <f t="shared" si="4"/>
        <v>4.1599999999999998E-2</v>
      </c>
      <c r="J5" s="29">
        <f t="shared" si="4"/>
        <v>4.1599999999999998E-2</v>
      </c>
      <c r="K5" s="29">
        <f t="shared" si="4"/>
        <v>4.1599999999999998E-2</v>
      </c>
      <c r="L5" s="29">
        <f t="shared" ca="1" si="4"/>
        <v>4.1599999999999998E-2</v>
      </c>
      <c r="M5" s="28">
        <f t="shared" ca="1" si="3"/>
        <v>1</v>
      </c>
      <c r="R5" s="27"/>
    </row>
    <row r="6" spans="1:18">
      <c r="A6" s="2" t="s">
        <v>25</v>
      </c>
      <c r="C6" s="8">
        <v>4</v>
      </c>
      <c r="D6" s="8">
        <v>1</v>
      </c>
      <c r="F6" s="1" t="str">
        <f>getVM(C6,D6,$A$4,$A$10,$A$7,$A$13,"linux-b",,$F$2)</f>
        <v>linux-b4ms-standard</v>
      </c>
      <c r="G6" s="29">
        <f t="shared" si="4"/>
        <v>0.16600000000000001</v>
      </c>
      <c r="H6" s="29">
        <f t="shared" si="4"/>
        <v>0.16600000000000001</v>
      </c>
      <c r="I6" s="29">
        <f t="shared" si="4"/>
        <v>0.16600000000000001</v>
      </c>
      <c r="J6" s="29">
        <f t="shared" si="4"/>
        <v>0.16600000000000001</v>
      </c>
      <c r="K6" s="29">
        <f t="shared" si="4"/>
        <v>0.16600000000000001</v>
      </c>
      <c r="L6" s="29">
        <f t="shared" ca="1" si="4"/>
        <v>0.16600000000000001</v>
      </c>
      <c r="M6" s="28">
        <f t="shared" ca="1" si="3"/>
        <v>1</v>
      </c>
      <c r="R6" s="27"/>
    </row>
    <row r="7" spans="1:18">
      <c r="A7" s="8" t="s">
        <v>0</v>
      </c>
      <c r="C7" s="8">
        <v>8</v>
      </c>
      <c r="D7" s="8">
        <v>1</v>
      </c>
      <c r="F7" s="1" t="str">
        <f>getVM(C7,D7,$A$4,$A$10,$A$7,$A$13,"linux-b",,$F$2)</f>
        <v>linux-b8ms-standard</v>
      </c>
      <c r="G7" s="29">
        <f t="shared" si="4"/>
        <v>0.33300000000000002</v>
      </c>
      <c r="H7" s="29">
        <f t="shared" si="4"/>
        <v>0.33300000000000002</v>
      </c>
      <c r="I7" s="29">
        <f t="shared" si="4"/>
        <v>0.33300000000000002</v>
      </c>
      <c r="J7" s="29">
        <f t="shared" si="4"/>
        <v>0.33300000000000002</v>
      </c>
      <c r="K7" s="29">
        <f t="shared" si="4"/>
        <v>0.33300000000000002</v>
      </c>
      <c r="L7" s="29">
        <f t="shared" ca="1" si="4"/>
        <v>0.33300000000000002</v>
      </c>
      <c r="M7" s="28">
        <f t="shared" ca="1" si="3"/>
        <v>1</v>
      </c>
      <c r="R7" s="27"/>
    </row>
    <row r="8" spans="1:18">
      <c r="C8" s="8">
        <v>1</v>
      </c>
      <c r="D8" s="8">
        <v>1</v>
      </c>
      <c r="F8" s="1" t="str">
        <f t="shared" ref="F8:F15" si="5">getVM(C8,D8,$A$4,$A$10,$A$7,$A$13,"linux-d",,$F$2)</f>
        <v>linux-d1v2-standard</v>
      </c>
      <c r="G8" s="29">
        <f t="shared" si="4"/>
        <v>5.7000000000000002E-2</v>
      </c>
      <c r="H8" s="29">
        <f t="shared" si="4"/>
        <v>5.7000000000000002E-2</v>
      </c>
      <c r="I8" s="29">
        <f t="shared" si="4"/>
        <v>5.7000000000000002E-2</v>
      </c>
      <c r="J8" s="29">
        <f t="shared" si="4"/>
        <v>5.7000000000000002E-2</v>
      </c>
      <c r="K8" s="29">
        <f t="shared" si="4"/>
        <v>5.7000000000000002E-2</v>
      </c>
      <c r="L8" s="29">
        <f t="shared" ca="1" si="4"/>
        <v>5.7000000000000002E-2</v>
      </c>
      <c r="M8" s="28">
        <f t="shared" ca="1" si="3"/>
        <v>1</v>
      </c>
      <c r="R8" s="27"/>
    </row>
    <row r="9" spans="1:18">
      <c r="A9" s="2" t="s">
        <v>27</v>
      </c>
      <c r="C9" s="8">
        <v>1</v>
      </c>
      <c r="D9" s="8">
        <v>1</v>
      </c>
      <c r="F9" s="1" t="str">
        <f t="shared" si="5"/>
        <v>linux-d1v2-standard</v>
      </c>
      <c r="G9" s="29">
        <f t="shared" si="4"/>
        <v>5.7000000000000002E-2</v>
      </c>
      <c r="H9" s="29">
        <f t="shared" si="4"/>
        <v>5.7000000000000002E-2</v>
      </c>
      <c r="I9" s="29">
        <f t="shared" si="4"/>
        <v>5.7000000000000002E-2</v>
      </c>
      <c r="J9" s="29">
        <f t="shared" si="4"/>
        <v>5.7000000000000002E-2</v>
      </c>
      <c r="K9" s="29">
        <f t="shared" si="4"/>
        <v>5.7000000000000002E-2</v>
      </c>
      <c r="L9" s="29">
        <f t="shared" ca="1" si="4"/>
        <v>5.7000000000000002E-2</v>
      </c>
      <c r="M9" s="28">
        <f t="shared" ca="1" si="3"/>
        <v>1</v>
      </c>
      <c r="R9" s="27"/>
    </row>
    <row r="10" spans="1:18">
      <c r="A10" s="8" t="s">
        <v>26</v>
      </c>
      <c r="C10" s="8">
        <v>2</v>
      </c>
      <c r="D10" s="8">
        <v>1</v>
      </c>
      <c r="F10" s="1" t="str">
        <f t="shared" si="5"/>
        <v>linux-d2v3-standard</v>
      </c>
      <c r="G10" s="29">
        <f t="shared" si="4"/>
        <v>9.6000000000000002E-2</v>
      </c>
      <c r="H10" s="29">
        <f t="shared" si="4"/>
        <v>9.6000000000000002E-2</v>
      </c>
      <c r="I10" s="29">
        <f t="shared" si="4"/>
        <v>9.6000000000000002E-2</v>
      </c>
      <c r="J10" s="29">
        <f t="shared" si="4"/>
        <v>9.6000000000000002E-2</v>
      </c>
      <c r="K10" s="29">
        <f t="shared" si="4"/>
        <v>9.6000000000000002E-2</v>
      </c>
      <c r="L10" s="29">
        <f t="shared" ca="1" si="4"/>
        <v>9.6000000000000002E-2</v>
      </c>
      <c r="M10" s="28">
        <f t="shared" ca="1" si="3"/>
        <v>1</v>
      </c>
      <c r="R10" s="27"/>
    </row>
    <row r="11" spans="1:18">
      <c r="C11" s="8">
        <v>4</v>
      </c>
      <c r="D11" s="8">
        <v>1</v>
      </c>
      <c r="F11" s="1" t="str">
        <f t="shared" si="5"/>
        <v>linux-d4v3-standard</v>
      </c>
      <c r="G11" s="29">
        <f t="shared" si="4"/>
        <v>0.192</v>
      </c>
      <c r="H11" s="29">
        <f t="shared" si="4"/>
        <v>0.192</v>
      </c>
      <c r="I11" s="29">
        <f t="shared" si="4"/>
        <v>0.192</v>
      </c>
      <c r="J11" s="29">
        <f t="shared" si="4"/>
        <v>0.192</v>
      </c>
      <c r="K11" s="29">
        <f t="shared" si="4"/>
        <v>0.192</v>
      </c>
      <c r="L11" s="29">
        <f t="shared" ca="1" si="4"/>
        <v>0.192</v>
      </c>
      <c r="M11" s="28">
        <f t="shared" ca="1" si="3"/>
        <v>1</v>
      </c>
      <c r="R11" s="27"/>
    </row>
    <row r="12" spans="1:18">
      <c r="A12" s="2" t="s">
        <v>41</v>
      </c>
      <c r="C12" s="8">
        <v>8</v>
      </c>
      <c r="D12" s="8">
        <v>1</v>
      </c>
      <c r="F12" s="1" t="str">
        <f t="shared" si="5"/>
        <v>linux-d8v3-standard</v>
      </c>
      <c r="G12" s="29">
        <f t="shared" si="4"/>
        <v>0.38400000000000001</v>
      </c>
      <c r="H12" s="29">
        <f t="shared" si="4"/>
        <v>0.38400000000000001</v>
      </c>
      <c r="I12" s="29">
        <f t="shared" si="4"/>
        <v>0.38400000000000001</v>
      </c>
      <c r="J12" s="29">
        <f t="shared" si="4"/>
        <v>0.38400000000000001</v>
      </c>
      <c r="K12" s="29">
        <f t="shared" si="4"/>
        <v>0.38400000000000001</v>
      </c>
      <c r="L12" s="29">
        <f t="shared" ca="1" si="4"/>
        <v>0.38400000000000001</v>
      </c>
      <c r="M12" s="28">
        <f t="shared" ca="1" si="3"/>
        <v>1</v>
      </c>
      <c r="R12" s="27"/>
    </row>
    <row r="13" spans="1:18">
      <c r="A13" s="8" t="s">
        <v>42</v>
      </c>
      <c r="C13" s="8">
        <v>16</v>
      </c>
      <c r="D13" s="8">
        <v>1</v>
      </c>
      <c r="F13" s="1" t="str">
        <f t="shared" si="5"/>
        <v>linux-d16v3-standard</v>
      </c>
      <c r="G13" s="29">
        <f t="shared" si="4"/>
        <v>0.76800000000000002</v>
      </c>
      <c r="H13" s="29">
        <f t="shared" si="4"/>
        <v>0.76800000000000002</v>
      </c>
      <c r="I13" s="29">
        <f t="shared" si="4"/>
        <v>0.76800000000000002</v>
      </c>
      <c r="J13" s="29">
        <f t="shared" si="4"/>
        <v>0.76800000000000002</v>
      </c>
      <c r="K13" s="29">
        <f t="shared" si="4"/>
        <v>0.76800000000000002</v>
      </c>
      <c r="L13" s="29">
        <f t="shared" ca="1" si="4"/>
        <v>0.76800000000000002</v>
      </c>
      <c r="M13" s="28">
        <f t="shared" ca="1" si="3"/>
        <v>1</v>
      </c>
      <c r="R13" s="27"/>
    </row>
    <row r="14" spans="1:18">
      <c r="C14" s="8">
        <v>16</v>
      </c>
      <c r="D14" s="8">
        <v>1</v>
      </c>
      <c r="F14" s="1" t="str">
        <f t="shared" si="5"/>
        <v>linux-d16v3-standard</v>
      </c>
      <c r="G14" s="29">
        <f t="shared" si="4"/>
        <v>0.76800000000000002</v>
      </c>
      <c r="H14" s="29">
        <f t="shared" si="4"/>
        <v>0.76800000000000002</v>
      </c>
      <c r="I14" s="29">
        <f t="shared" si="4"/>
        <v>0.76800000000000002</v>
      </c>
      <c r="J14" s="29">
        <f t="shared" si="4"/>
        <v>0.76800000000000002</v>
      </c>
      <c r="K14" s="29">
        <f t="shared" si="4"/>
        <v>0.76800000000000002</v>
      </c>
      <c r="L14" s="29">
        <f t="shared" ca="1" si="4"/>
        <v>0.76800000000000002</v>
      </c>
      <c r="M14" s="28">
        <f t="shared" ca="1" si="3"/>
        <v>1</v>
      </c>
      <c r="R14" s="27"/>
    </row>
    <row r="15" spans="1:18">
      <c r="C15" s="8">
        <v>32</v>
      </c>
      <c r="D15" s="8">
        <v>1</v>
      </c>
      <c r="F15" s="1" t="str">
        <f t="shared" si="5"/>
        <v>linux-d32v3-standard</v>
      </c>
      <c r="G15" s="29">
        <f t="shared" ref="G15:L20" si="6">getVMPriceHour($F15,$A$4,$A$10,$A$7,G$2)</f>
        <v>1.536</v>
      </c>
      <c r="H15" s="29">
        <f t="shared" si="6"/>
        <v>1.536</v>
      </c>
      <c r="I15" s="29">
        <f t="shared" si="6"/>
        <v>1.536</v>
      </c>
      <c r="J15" s="29">
        <f t="shared" si="6"/>
        <v>1.536</v>
      </c>
      <c r="K15" s="29">
        <f t="shared" si="6"/>
        <v>1.536</v>
      </c>
      <c r="L15" s="29">
        <f t="shared" ca="1" si="6"/>
        <v>1.536</v>
      </c>
      <c r="M15" s="28">
        <f t="shared" ca="1" si="3"/>
        <v>1</v>
      </c>
      <c r="R15" s="27"/>
    </row>
    <row r="16" spans="1:18">
      <c r="C16" s="8">
        <v>32</v>
      </c>
      <c r="D16" s="8">
        <v>1</v>
      </c>
      <c r="F16" s="1" t="str">
        <f>getVM(C16,D16,$A$4,$A$10,$A$7,$A$13,"-m",,$G$2)</f>
        <v>linux-m32ts-standard</v>
      </c>
      <c r="G16" s="29">
        <f t="shared" si="6"/>
        <v>2.7069999999999999</v>
      </c>
      <c r="H16" s="29">
        <f t="shared" si="6"/>
        <v>2.7069999999999999</v>
      </c>
      <c r="I16" s="29">
        <f t="shared" si="6"/>
        <v>2.7069999999999999</v>
      </c>
      <c r="J16" s="29">
        <f t="shared" si="6"/>
        <v>2.7069999999999999</v>
      </c>
      <c r="K16" s="29">
        <f t="shared" si="6"/>
        <v>2.7069999999999999</v>
      </c>
      <c r="L16" s="29">
        <f t="shared" ca="1" si="6"/>
        <v>2.7069999999999999</v>
      </c>
      <c r="M16" s="28">
        <f t="shared" ca="1" si="3"/>
        <v>1</v>
      </c>
      <c r="R16" s="27"/>
    </row>
    <row r="17" spans="2:18">
      <c r="C17" s="8">
        <v>32</v>
      </c>
      <c r="D17" s="8">
        <v>1</v>
      </c>
      <c r="F17" s="1" t="str">
        <f>getVM(C17,D17,$A$4,$A$10,$A$7,$A$13,"linux-m",,$F$2)</f>
        <v>linux-m32ts-standard</v>
      </c>
      <c r="G17" s="29">
        <f t="shared" si="6"/>
        <v>2.7069999999999999</v>
      </c>
      <c r="H17" s="29">
        <f t="shared" si="6"/>
        <v>2.7069999999999999</v>
      </c>
      <c r="I17" s="29">
        <f t="shared" si="6"/>
        <v>2.7069999999999999</v>
      </c>
      <c r="J17" s="29">
        <f t="shared" si="6"/>
        <v>2.7069999999999999</v>
      </c>
      <c r="K17" s="29">
        <f t="shared" si="6"/>
        <v>2.7069999999999999</v>
      </c>
      <c r="L17" s="29">
        <f t="shared" ca="1" si="6"/>
        <v>2.7069999999999999</v>
      </c>
      <c r="M17" s="28">
        <f t="shared" ca="1" si="3"/>
        <v>1</v>
      </c>
      <c r="R17" s="27"/>
    </row>
    <row r="18" spans="2:18">
      <c r="C18" s="8">
        <v>64</v>
      </c>
      <c r="D18" s="8">
        <v>1</v>
      </c>
      <c r="F18" s="1" t="str">
        <f>getVM(C18,D18,$A$4,$A$10,$A$7,$A$13,"linux-m",,$F$2)</f>
        <v>linux-m64ls-standard</v>
      </c>
      <c r="G18" s="29">
        <f t="shared" si="6"/>
        <v>5.415</v>
      </c>
      <c r="H18" s="29">
        <f t="shared" si="6"/>
        <v>5.415</v>
      </c>
      <c r="I18" s="29">
        <f t="shared" si="6"/>
        <v>5.415</v>
      </c>
      <c r="J18" s="29">
        <f t="shared" si="6"/>
        <v>5.415</v>
      </c>
      <c r="K18" s="29">
        <f t="shared" si="6"/>
        <v>5.415</v>
      </c>
      <c r="L18" s="29">
        <f t="shared" ca="1" si="6"/>
        <v>5.415</v>
      </c>
      <c r="M18" s="28">
        <f t="shared" ca="1" si="3"/>
        <v>1</v>
      </c>
      <c r="R18" s="27"/>
    </row>
    <row r="19" spans="2:18">
      <c r="C19" s="8">
        <v>64</v>
      </c>
      <c r="D19" s="8">
        <v>1</v>
      </c>
      <c r="F19" s="1" t="str">
        <f>getVM(C19,D19,$A$4,$A$10,$A$7,$A$13,"linux-m",,$F$2)</f>
        <v>linux-m64ls-standard</v>
      </c>
      <c r="G19" s="29">
        <f t="shared" si="6"/>
        <v>5.415</v>
      </c>
      <c r="H19" s="29">
        <f t="shared" si="6"/>
        <v>5.415</v>
      </c>
      <c r="I19" s="29">
        <f t="shared" si="6"/>
        <v>5.415</v>
      </c>
      <c r="J19" s="29">
        <f t="shared" si="6"/>
        <v>5.415</v>
      </c>
      <c r="K19" s="29">
        <f t="shared" si="6"/>
        <v>5.415</v>
      </c>
      <c r="L19" s="29">
        <f t="shared" ca="1" si="6"/>
        <v>5.415</v>
      </c>
      <c r="M19" s="28">
        <f t="shared" ca="1" si="3"/>
        <v>1</v>
      </c>
      <c r="R19" s="27"/>
    </row>
    <row r="20" spans="2:18">
      <c r="C20" s="8">
        <v>128</v>
      </c>
      <c r="D20" s="8">
        <v>1</v>
      </c>
      <c r="F20" s="1" t="str">
        <f>getVM(C20,D20,$A$4,$A$10,$A$7,$A$13,"linux-m",,$F$2)</f>
        <v>linux-m128-standard</v>
      </c>
      <c r="G20" s="29">
        <f t="shared" si="6"/>
        <v>13.337999999999999</v>
      </c>
      <c r="H20" s="29">
        <f t="shared" si="6"/>
        <v>13.337999999999999</v>
      </c>
      <c r="I20" s="29">
        <f t="shared" si="6"/>
        <v>13.337999999999999</v>
      </c>
      <c r="J20" s="29">
        <f t="shared" si="6"/>
        <v>13.337999999999999</v>
      </c>
      <c r="K20" s="29">
        <f t="shared" si="6"/>
        <v>13.337999999999999</v>
      </c>
      <c r="L20" s="29">
        <f t="shared" ca="1" si="6"/>
        <v>13.337999999999999</v>
      </c>
      <c r="M20" s="28">
        <f t="shared" ca="1" si="3"/>
        <v>1</v>
      </c>
      <c r="R20" s="27"/>
    </row>
    <row r="21" spans="2:18">
      <c r="B21" s="8">
        <v>1</v>
      </c>
      <c r="C21" s="8">
        <v>192</v>
      </c>
      <c r="D21" s="8">
        <v>1</v>
      </c>
      <c r="F21" s="25" t="str">
        <f>getVM(C21,D21,B21,$A$10,$A$7,A13,,,$F$2)</f>
        <v>linux-sap192-standard</v>
      </c>
      <c r="G21" s="33">
        <f t="shared" ref="G21:L21" si="7">getVMPriceHour($F21,$B$21,$A$10,$A$7,G$2)</f>
        <v>10.62603</v>
      </c>
      <c r="H21" s="33">
        <f t="shared" si="7"/>
        <v>10.62603</v>
      </c>
      <c r="I21" s="33">
        <f t="shared" si="7"/>
        <v>10.62603</v>
      </c>
      <c r="J21" s="33">
        <f t="shared" si="7"/>
        <v>10.62603</v>
      </c>
      <c r="K21" s="33">
        <f t="shared" si="7"/>
        <v>10.62603</v>
      </c>
      <c r="L21" s="33">
        <f t="shared" ca="1" si="7"/>
        <v>10.62603</v>
      </c>
      <c r="M21" s="28">
        <f t="shared" ca="1" si="3"/>
        <v>1</v>
      </c>
      <c r="R21" s="27"/>
    </row>
    <row r="22" spans="2:18">
      <c r="C22" s="8">
        <v>32</v>
      </c>
      <c r="D22" s="8">
        <v>1</v>
      </c>
      <c r="F22" s="1" t="str">
        <f>getVM(C22,D22,$A$4,$A$10,$A$7,$A$13,,,$F$2)</f>
        <v>linux-f32sv2-standard</v>
      </c>
      <c r="G22" s="29">
        <f t="shared" ref="G22:L23" si="8">getVMPriceHour($F22,$A$4,$A$10,$A$7,G$2)</f>
        <v>1.36</v>
      </c>
      <c r="H22" s="29">
        <f t="shared" si="8"/>
        <v>1.36</v>
      </c>
      <c r="I22" s="29">
        <f t="shared" si="8"/>
        <v>1.36</v>
      </c>
      <c r="J22" s="29">
        <f t="shared" si="8"/>
        <v>1.36</v>
      </c>
      <c r="K22" s="29">
        <f t="shared" si="8"/>
        <v>1.36</v>
      </c>
      <c r="L22" s="29">
        <f t="shared" ca="1" si="8"/>
        <v>1.36</v>
      </c>
      <c r="M22" s="28">
        <f t="shared" ca="1" si="3"/>
        <v>1</v>
      </c>
      <c r="R22" s="27"/>
    </row>
    <row r="23" spans="2:18">
      <c r="B23" s="8">
        <v>0</v>
      </c>
      <c r="C23" s="8">
        <v>4</v>
      </c>
      <c r="D23" s="8">
        <v>1</v>
      </c>
      <c r="F23" s="1" t="str">
        <f>getVM(C23,D23,B23,$A$10,$A$7,_xlfn.CONCAT($A$13,";v2"),"-a",,$F$2)</f>
        <v>linux-a3-basic</v>
      </c>
      <c r="G23" s="29">
        <f t="shared" si="8"/>
        <v>0.17599999999999999</v>
      </c>
      <c r="H23" s="29">
        <f t="shared" si="8"/>
        <v>0.17599999999999999</v>
      </c>
      <c r="I23" s="29">
        <f t="shared" si="8"/>
        <v>0.17599999999999999</v>
      </c>
      <c r="J23" s="29">
        <f t="shared" si="8"/>
        <v>0.17599999999999999</v>
      </c>
      <c r="K23" s="29">
        <f t="shared" si="8"/>
        <v>0.17599999999999999</v>
      </c>
      <c r="L23" s="29">
        <f t="shared" ca="1" si="8"/>
        <v>0.17599999999999999</v>
      </c>
      <c r="M23" s="28">
        <f t="shared" ca="1" si="3"/>
        <v>1</v>
      </c>
      <c r="R23" s="27"/>
    </row>
    <row r="24" spans="2:18">
      <c r="C24" s="8">
        <v>6</v>
      </c>
      <c r="D24" s="8">
        <v>16</v>
      </c>
      <c r="F24" s="31" t="str">
        <f>_xlfn.CONCAT("Cheapest -n VM with 6cores not ",$A$13)</f>
        <v>Cheapest -n VM with 6cores not lowpriority</v>
      </c>
      <c r="G24" s="30">
        <f t="shared" ref="G24:L24" si="9">getVMPriceHour(getVM($C24,$D24,$A$4,$A$10,$A$7,,"-n",,G$2),$A$4,$A$10,$A$7,G$2)</f>
        <v>0.18</v>
      </c>
      <c r="H24" s="30">
        <f t="shared" si="9"/>
        <v>0.18</v>
      </c>
      <c r="I24" s="30">
        <f t="shared" si="9"/>
        <v>0.18</v>
      </c>
      <c r="J24" s="30">
        <f t="shared" si="9"/>
        <v>0.18</v>
      </c>
      <c r="K24" s="30">
        <f t="shared" si="9"/>
        <v>0.18</v>
      </c>
      <c r="L24" s="30">
        <f t="shared" ca="1" si="9"/>
        <v>0.18</v>
      </c>
      <c r="M24" s="28">
        <f t="shared" ca="1" si="3"/>
        <v>1</v>
      </c>
      <c r="R24" s="27"/>
    </row>
    <row r="25" spans="2:18">
      <c r="C25" s="8">
        <v>1</v>
      </c>
      <c r="D25" s="8">
        <v>1</v>
      </c>
      <c r="F25" s="1" t="str">
        <f>getVM(C25,D25,$A$4,$A$10,$A$7,,"-nv",,$F$2)</f>
        <v>linux-nv6-lowpriority</v>
      </c>
      <c r="G25" s="29">
        <f t="shared" ref="G25:L33" si="10">getVMPriceHour($F25,$A$4,$A$10,$A$7,G$2)</f>
        <v>0.219</v>
      </c>
      <c r="H25" s="29">
        <f t="shared" si="10"/>
        <v>0.219</v>
      </c>
      <c r="I25" s="29">
        <f t="shared" si="10"/>
        <v>0.219</v>
      </c>
      <c r="J25" s="29">
        <f t="shared" si="10"/>
        <v>0.218</v>
      </c>
      <c r="K25" s="29">
        <f t="shared" si="10"/>
        <v>0.218</v>
      </c>
      <c r="L25" s="29">
        <f t="shared" ca="1" si="10"/>
        <v>0.218</v>
      </c>
      <c r="M25" s="28">
        <f t="shared" ca="1" si="3"/>
        <v>0.99543378995433784</v>
      </c>
      <c r="R25" s="27"/>
    </row>
    <row r="26" spans="2:18">
      <c r="C26" s="8">
        <v>16</v>
      </c>
      <c r="D26" s="8">
        <v>1</v>
      </c>
      <c r="F26" s="1" t="str">
        <f>getVM(C26,D26,3,$A$10,$A$7,,"-g",,$F$2)</f>
        <v>linux-g4-lowpriority</v>
      </c>
      <c r="G26" s="29">
        <f t="shared" si="10"/>
        <v>0.78400000000000003</v>
      </c>
      <c r="H26" s="29">
        <f t="shared" si="10"/>
        <v>0.78400000000000003</v>
      </c>
      <c r="I26" s="29">
        <f t="shared" si="10"/>
        <v>0.78400000000000003</v>
      </c>
      <c r="J26" s="29">
        <f t="shared" si="10"/>
        <v>0.78400000000000003</v>
      </c>
      <c r="K26" s="29">
        <f t="shared" si="10"/>
        <v>0.78400000000000003</v>
      </c>
      <c r="L26" s="29">
        <f t="shared" ca="1" si="10"/>
        <v>0.78400000000000003</v>
      </c>
      <c r="M26" s="28">
        <f t="shared" ca="1" si="3"/>
        <v>1</v>
      </c>
      <c r="R26" s="27"/>
    </row>
    <row r="27" spans="2:18">
      <c r="C27" s="8">
        <v>16</v>
      </c>
      <c r="D27" s="8">
        <v>1</v>
      </c>
      <c r="F27" s="1" t="str">
        <f>getVM(C27,D27,$A$4,$A$10,$A$7,,"-g",,$F$2)</f>
        <v>linux-g4-lowpriority</v>
      </c>
      <c r="G27" s="29">
        <f t="shared" si="10"/>
        <v>0.78400000000000003</v>
      </c>
      <c r="H27" s="29">
        <f t="shared" si="10"/>
        <v>0.78400000000000003</v>
      </c>
      <c r="I27" s="29">
        <f t="shared" si="10"/>
        <v>0.78400000000000003</v>
      </c>
      <c r="J27" s="29">
        <f t="shared" si="10"/>
        <v>0.78400000000000003</v>
      </c>
      <c r="K27" s="29">
        <f t="shared" si="10"/>
        <v>0.78400000000000003</v>
      </c>
      <c r="L27" s="29">
        <f t="shared" ca="1" si="10"/>
        <v>0.78400000000000003</v>
      </c>
      <c r="M27" s="28">
        <f t="shared" ca="1" si="3"/>
        <v>1</v>
      </c>
      <c r="R27" s="27"/>
    </row>
    <row r="28" spans="2:18">
      <c r="C28" s="8">
        <v>8</v>
      </c>
      <c r="D28" s="8">
        <v>1</v>
      </c>
      <c r="E28" s="32" t="s">
        <v>157</v>
      </c>
      <c r="F28" s="1" t="str">
        <f>getVM(C28,D28,$A$4,$A$10,$A$7,,_xlfn.CONCAT("-",E28),,$F$2)</f>
        <v>linux-a8v2-lowpriority</v>
      </c>
      <c r="G28" s="29">
        <f t="shared" si="10"/>
        <v>6.7000000000000004E-2</v>
      </c>
      <c r="H28" s="29">
        <f t="shared" si="10"/>
        <v>6.7000000000000004E-2</v>
      </c>
      <c r="I28" s="29">
        <f t="shared" si="10"/>
        <v>6.7000000000000004E-2</v>
      </c>
      <c r="J28" s="29">
        <f t="shared" si="10"/>
        <v>6.7000000000000004E-2</v>
      </c>
      <c r="K28" s="29">
        <f t="shared" si="10"/>
        <v>6.7000000000000004E-2</v>
      </c>
      <c r="L28" s="29">
        <f t="shared" ca="1" si="10"/>
        <v>6.7000000000000004E-2</v>
      </c>
      <c r="M28" s="28">
        <f t="shared" ca="1" si="3"/>
        <v>1</v>
      </c>
      <c r="R28" s="27"/>
    </row>
    <row r="29" spans="2:18">
      <c r="C29" s="8">
        <v>32</v>
      </c>
      <c r="D29" s="8">
        <v>1</v>
      </c>
      <c r="E29" s="8" t="s">
        <v>156</v>
      </c>
      <c r="F29" s="1" t="str">
        <f>getVM(C29,D29,$A$4,$A$10,$A$7,,_xlfn.CONCAT("-",E29),,$F$2)</f>
        <v>linux-e32v3-lowpriority</v>
      </c>
      <c r="G29" s="29">
        <f t="shared" si="10"/>
        <v>0.40300000000000002</v>
      </c>
      <c r="H29" s="29">
        <f t="shared" si="10"/>
        <v>0.40300000000000002</v>
      </c>
      <c r="I29" s="29">
        <f t="shared" si="10"/>
        <v>0.40300000000000002</v>
      </c>
      <c r="J29" s="29">
        <f t="shared" si="10"/>
        <v>0.40300000000000002</v>
      </c>
      <c r="K29" s="29">
        <f t="shared" si="10"/>
        <v>0.40300000000000002</v>
      </c>
      <c r="L29" s="29">
        <f t="shared" ca="1" si="10"/>
        <v>0.40300000000000002</v>
      </c>
      <c r="M29" s="28">
        <f t="shared" ca="1" si="3"/>
        <v>1</v>
      </c>
      <c r="R29" s="27"/>
    </row>
    <row r="30" spans="2:18">
      <c r="C30" s="8">
        <v>32</v>
      </c>
      <c r="D30" s="8">
        <v>1</v>
      </c>
      <c r="E30" s="8" t="s">
        <v>155</v>
      </c>
      <c r="F30" s="1" t="str">
        <f>getVM(C30,D30,$A$4,$A$10,$A$7,,_xlfn.CONCAT("-",E30),,$F$2)</f>
        <v>linux-f32sv2-lowpriority</v>
      </c>
      <c r="G30" s="29">
        <f t="shared" si="10"/>
        <v>0.27200000000000002</v>
      </c>
      <c r="H30" s="29">
        <f t="shared" si="10"/>
        <v>0.27200000000000002</v>
      </c>
      <c r="I30" s="29">
        <f t="shared" si="10"/>
        <v>0.27200000000000002</v>
      </c>
      <c r="J30" s="29">
        <f t="shared" si="10"/>
        <v>0.27200000000000002</v>
      </c>
      <c r="K30" s="29">
        <f t="shared" si="10"/>
        <v>0.27200000000000002</v>
      </c>
      <c r="L30" s="29">
        <f t="shared" ca="1" si="10"/>
        <v>0.27200000000000002</v>
      </c>
      <c r="M30" s="28">
        <f t="shared" ca="1" si="3"/>
        <v>1</v>
      </c>
      <c r="R30" s="27"/>
    </row>
    <row r="31" spans="2:18">
      <c r="B31" s="8">
        <v>0</v>
      </c>
      <c r="C31" s="8">
        <v>32</v>
      </c>
      <c r="D31" s="8">
        <v>1</v>
      </c>
      <c r="E31" s="8" t="s">
        <v>154</v>
      </c>
      <c r="F31" s="1" t="str">
        <f>getVM(C31,D31,B31,$A$10,$A$7,,_xlfn.CONCAT("-",E31),,$F$2)</f>
        <v>linux-hc44rs-lowpriority</v>
      </c>
      <c r="G31" s="29">
        <f t="shared" si="10"/>
        <v>0.317</v>
      </c>
      <c r="H31" s="29">
        <f t="shared" si="10"/>
        <v>0.317</v>
      </c>
      <c r="I31" s="29">
        <f t="shared" si="10"/>
        <v>0.317</v>
      </c>
      <c r="J31" s="29">
        <f t="shared" si="10"/>
        <v>0.317</v>
      </c>
      <c r="K31" s="29">
        <f t="shared" si="10"/>
        <v>0.317</v>
      </c>
      <c r="L31" s="29">
        <f t="shared" ca="1" si="10"/>
        <v>0.63400000000000001</v>
      </c>
      <c r="M31" s="28">
        <f t="shared" ca="1" si="3"/>
        <v>2</v>
      </c>
      <c r="R31" s="27"/>
    </row>
    <row r="32" spans="2:18">
      <c r="C32" s="8">
        <v>32</v>
      </c>
      <c r="D32" s="8">
        <v>1</v>
      </c>
      <c r="E32" s="8" t="s">
        <v>153</v>
      </c>
      <c r="F32" s="1" t="str">
        <f>getVM(C32,D32,$A$4,$A$10,$A$7,,_xlfn.CONCAT("-",E32),,$F$2)</f>
        <v>linux-f32sv2-lowpriority</v>
      </c>
      <c r="G32" s="29">
        <f t="shared" si="10"/>
        <v>0.27200000000000002</v>
      </c>
      <c r="H32" s="29">
        <f t="shared" si="10"/>
        <v>0.27200000000000002</v>
      </c>
      <c r="I32" s="29">
        <f t="shared" si="10"/>
        <v>0.27200000000000002</v>
      </c>
      <c r="J32" s="29">
        <f t="shared" si="10"/>
        <v>0.27200000000000002</v>
      </c>
      <c r="K32" s="29">
        <f t="shared" si="10"/>
        <v>0.27200000000000002</v>
      </c>
      <c r="L32" s="29">
        <f t="shared" ca="1" si="10"/>
        <v>0.27200000000000002</v>
      </c>
      <c r="M32" s="28">
        <f t="shared" ca="1" si="3"/>
        <v>1</v>
      </c>
      <c r="R32" s="27"/>
    </row>
    <row r="33" spans="3:18">
      <c r="C33" s="8">
        <v>24</v>
      </c>
      <c r="D33" s="8">
        <v>1</v>
      </c>
      <c r="E33" s="8" t="s">
        <v>152</v>
      </c>
      <c r="F33" s="1" t="str">
        <f>getVM(C33,D33,$A$4,$A$10,$A$7,,_xlfn.CONCAT("-",E33),,$F$2)</f>
        <v>linux-nd24-standard</v>
      </c>
      <c r="G33" s="29">
        <f t="shared" si="10"/>
        <v>8.2799999999999994</v>
      </c>
      <c r="H33" s="29">
        <f t="shared" si="10"/>
        <v>8.2799999999999994</v>
      </c>
      <c r="I33" s="29">
        <f t="shared" si="10"/>
        <v>8.2799999999999994</v>
      </c>
      <c r="J33" s="29">
        <f t="shared" si="10"/>
        <v>8.2799999999999994</v>
      </c>
      <c r="K33" s="29">
        <f t="shared" si="10"/>
        <v>8.2799999999999994</v>
      </c>
      <c r="L33" s="29" t="e">
        <f t="shared" ca="1" si="10"/>
        <v>#VALUE!</v>
      </c>
      <c r="M33" s="28" t="e">
        <f t="shared" ca="1" si="3"/>
        <v>#VALUE!</v>
      </c>
      <c r="R33" s="27"/>
    </row>
    <row r="34" spans="3:18">
      <c r="C34" s="8">
        <v>24</v>
      </c>
      <c r="D34" s="8">
        <v>64</v>
      </c>
      <c r="E34" s="8" t="s">
        <v>151</v>
      </c>
      <c r="F34" s="31" t="s">
        <v>150</v>
      </c>
      <c r="G34" s="30">
        <f t="shared" ref="G34:L34" si="11">getVMPriceHour(getVM($C34,$D34,$A$4,$A$10,$A$7,,$E34,,G$2),$A$4,$A$10,$A$7,G$2)</f>
        <v>0.72</v>
      </c>
      <c r="H34" s="30">
        <f t="shared" si="11"/>
        <v>0.72</v>
      </c>
      <c r="I34" s="30">
        <f t="shared" si="11"/>
        <v>0.72</v>
      </c>
      <c r="J34" s="30">
        <f t="shared" si="11"/>
        <v>0.72</v>
      </c>
      <c r="K34" s="30">
        <f t="shared" si="11"/>
        <v>0.72</v>
      </c>
      <c r="L34" s="30">
        <f t="shared" ca="1" si="11"/>
        <v>0.72</v>
      </c>
      <c r="M34" s="28">
        <f t="shared" ca="1" si="3"/>
        <v>1</v>
      </c>
      <c r="R34" s="27"/>
    </row>
    <row r="35" spans="3:18">
      <c r="C35" s="8">
        <v>24</v>
      </c>
      <c r="D35" s="8">
        <v>1</v>
      </c>
      <c r="E35" s="8" t="s">
        <v>149</v>
      </c>
      <c r="F35" s="1" t="str">
        <f>getVM(C35,D35,$A$4,$A$10,$A$7,,_xlfn.CONCAT("-",E35),,$F$2)</f>
        <v>linux-nv24-lowpriority</v>
      </c>
      <c r="G35" s="29">
        <f t="shared" ref="G35:L35" si="12">getVMPriceHour($F35,$A$4,$A$10,$A$7,G$2)</f>
        <v>0.874</v>
      </c>
      <c r="H35" s="29">
        <f t="shared" si="12"/>
        <v>0.874</v>
      </c>
      <c r="I35" s="29">
        <f t="shared" si="12"/>
        <v>0.874</v>
      </c>
      <c r="J35" s="29">
        <f t="shared" si="12"/>
        <v>0.874</v>
      </c>
      <c r="K35" s="29">
        <f t="shared" si="12"/>
        <v>0.874</v>
      </c>
      <c r="L35" s="29">
        <f t="shared" ca="1" si="12"/>
        <v>0.874</v>
      </c>
      <c r="M35" s="28">
        <f t="shared" ca="1" si="3"/>
        <v>1</v>
      </c>
      <c r="R35" s="27"/>
    </row>
    <row r="36" spans="3:18">
      <c r="L36" s="26"/>
    </row>
    <row r="37" spans="3:18">
      <c r="C37" s="2" t="s">
        <v>72</v>
      </c>
      <c r="L37" s="26"/>
    </row>
    <row r="38" spans="3:18">
      <c r="C38" s="8">
        <v>4000</v>
      </c>
      <c r="D38" s="1"/>
      <c r="F38" s="1" t="str">
        <f>getManagedDisk(C38,$A$10,$A$7,,"premium")</f>
        <v>premiumssd-p50</v>
      </c>
      <c r="G38" s="1">
        <f t="shared" ref="G38:I41" si="13">getManagedDiskPriceMonth(getManagedDisk($C38,$A$10,$A$7,,"premium",G$2),$A$10,$A$7,G$2)</f>
        <v>450.56</v>
      </c>
      <c r="H38" s="1">
        <f t="shared" si="13"/>
        <v>450.56</v>
      </c>
      <c r="I38" s="1">
        <f t="shared" si="13"/>
        <v>450.56</v>
      </c>
      <c r="J38" s="1" t="str" cm="1">
        <f t="array" ref="J38">getManagedDisk($C38,$A$10,$A$7,,,G$2)</f>
        <v>standardhdd-s50</v>
      </c>
      <c r="L38" s="26"/>
    </row>
    <row r="39" spans="3:18">
      <c r="C39" s="8">
        <v>5000</v>
      </c>
      <c r="D39" s="1"/>
      <c r="F39" s="1" t="str">
        <f>getManagedDisk(C39,$A$10,$A$7,,"premium")</f>
        <v>premiumssd-p60</v>
      </c>
      <c r="G39" s="25">
        <f t="shared" si="13"/>
        <v>860.16</v>
      </c>
      <c r="H39" s="1">
        <f t="shared" si="13"/>
        <v>860.16</v>
      </c>
      <c r="I39" s="1">
        <f t="shared" si="13"/>
        <v>860.16</v>
      </c>
      <c r="L39" s="26"/>
    </row>
    <row r="40" spans="3:18">
      <c r="C40" s="8">
        <v>10000</v>
      </c>
      <c r="D40" s="1"/>
      <c r="F40" s="1" t="str">
        <f>getManagedDisk(C40,$A$10,$A$7,,"premium")</f>
        <v>premiumssd-p70</v>
      </c>
      <c r="G40" s="25">
        <f t="shared" si="13"/>
        <v>1638.4</v>
      </c>
      <c r="H40" s="1">
        <f t="shared" si="13"/>
        <v>1638.4</v>
      </c>
      <c r="I40" s="1">
        <f t="shared" si="13"/>
        <v>1638.4</v>
      </c>
    </row>
    <row r="41" spans="3:18">
      <c r="C41" s="8">
        <v>20000</v>
      </c>
      <c r="D41" s="1"/>
      <c r="F41" s="1" t="str">
        <f>getManagedDisk(C41,$A$10,$A$7,,"premium")</f>
        <v>premiumssd-p80</v>
      </c>
      <c r="G41" s="25">
        <f t="shared" si="13"/>
        <v>3276.8</v>
      </c>
      <c r="H41" s="1">
        <f t="shared" si="13"/>
        <v>3276.8</v>
      </c>
      <c r="I41" s="1">
        <f t="shared" si="13"/>
        <v>3276.8</v>
      </c>
    </row>
    <row r="44" spans="3:18">
      <c r="C44" s="8">
        <v>4000</v>
      </c>
      <c r="D44" s="1"/>
      <c r="F44" s="1" t="str">
        <f>getManagedDisk(C44,$A$10,$A$7,,"standardssd")</f>
        <v>standardssd-e50</v>
      </c>
      <c r="G44" s="1">
        <f t="shared" ref="G44:I47" si="14">getManagedDiskPriceMonth(getManagedDisk($C44,$A$10,$A$7,,"standardssd",G$2),$A$10,$A$7,G$2)</f>
        <v>307.2</v>
      </c>
      <c r="H44" s="1">
        <f t="shared" si="14"/>
        <v>307.2</v>
      </c>
      <c r="I44" s="1">
        <f t="shared" si="14"/>
        <v>307.2</v>
      </c>
    </row>
    <row r="45" spans="3:18">
      <c r="C45" s="8">
        <v>5000</v>
      </c>
      <c r="D45" s="1"/>
      <c r="F45" s="1" t="str">
        <f>getManagedDisk(C45,$A$10,$A$7,,"standardssd")</f>
        <v>standardssd-e60</v>
      </c>
      <c r="G45" s="25">
        <f t="shared" si="14"/>
        <v>430.08</v>
      </c>
      <c r="H45" s="1">
        <f t="shared" si="14"/>
        <v>614.4</v>
      </c>
      <c r="I45" s="1">
        <f t="shared" si="14"/>
        <v>614.4</v>
      </c>
    </row>
    <row r="46" spans="3:18">
      <c r="C46" s="8">
        <v>10000</v>
      </c>
      <c r="D46" s="1"/>
      <c r="F46" s="1" t="str">
        <f>getManagedDisk(C46,$A$10,$A$7,,"standardssd")</f>
        <v>standardssd-e70</v>
      </c>
      <c r="G46" s="25">
        <f t="shared" si="14"/>
        <v>819.2</v>
      </c>
      <c r="H46" s="1">
        <f t="shared" si="14"/>
        <v>1228.8</v>
      </c>
      <c r="I46" s="1">
        <f t="shared" si="14"/>
        <v>1228.8</v>
      </c>
    </row>
    <row r="47" spans="3:18">
      <c r="C47" s="8">
        <v>20000</v>
      </c>
      <c r="D47" s="1"/>
      <c r="F47" s="1" t="str">
        <f>getManagedDisk(C47,$A$10,$A$7,,"standardssd")</f>
        <v>standardssd-e80</v>
      </c>
      <c r="G47" s="25">
        <f t="shared" si="14"/>
        <v>1638.4</v>
      </c>
      <c r="H47" s="1">
        <f t="shared" si="14"/>
        <v>2457.6</v>
      </c>
      <c r="I47" s="1">
        <f t="shared" si="14"/>
        <v>2457.6</v>
      </c>
    </row>
    <row r="57" spans="7:7">
      <c r="G57" s="1"/>
    </row>
  </sheetData>
  <conditionalFormatting sqref="R3:R35"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{ABD956F7-2EF4-4D14-BD30-C6DBCB8CA08E}</x14:id>
        </ext>
      </extLst>
    </cfRule>
  </conditionalFormatting>
  <conditionalFormatting sqref="M4:M3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{E9CE2564-DAC9-4A3A-A96A-E10250E4CCC8}</x14:id>
        </ext>
      </extLst>
    </cfRule>
  </conditionalFormatting>
  <dataValidations count="1">
    <dataValidation type="list" allowBlank="1" showInputMessage="1" showErrorMessage="1" sqref="A13" xr:uid="{BE56000D-2BFA-4BDD-82DA-2D7C8F6C93BC}">
      <formula1>"lowpriority,standard"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D956F7-2EF4-4D14-BD30-C6DBCB8CA08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R3:R35</xm:sqref>
        </x14:conditionalFormatting>
        <x14:conditionalFormatting xmlns:xm="http://schemas.microsoft.com/office/excel/2006/main">
          <x14:cfRule type="dataBar" id="{E9CE2564-DAC9-4A3A-A96A-E10250E4CCC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M4:M35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F133-9CAF-4182-9562-D12B86244557}">
  <sheetPr codeName="Sheet6"/>
  <dimension ref="A2:P45"/>
  <sheetViews>
    <sheetView topLeftCell="A16" zoomScaleNormal="100" workbookViewId="0">
      <selection activeCell="G36" sqref="G36"/>
    </sheetView>
  </sheetViews>
  <sheetFormatPr defaultRowHeight="14.5"/>
  <cols>
    <col min="1" max="1" width="12.81640625" customWidth="1"/>
    <col min="2" max="2" width="15.26953125" bestFit="1" customWidth="1"/>
    <col min="3" max="3" width="22.453125" customWidth="1"/>
    <col min="4" max="4" width="16.453125" bestFit="1" customWidth="1"/>
    <col min="5" max="5" width="15.1796875" customWidth="1"/>
    <col min="6" max="6" width="35.54296875" customWidth="1"/>
    <col min="8" max="8" width="14.81640625" customWidth="1"/>
    <col min="10" max="10" width="20" style="7" customWidth="1"/>
    <col min="11" max="11" width="12.453125" customWidth="1"/>
    <col min="12" max="12" width="12" bestFit="1" customWidth="1"/>
    <col min="13" max="13" width="15.81640625" customWidth="1"/>
    <col min="14" max="14" width="16.453125" customWidth="1"/>
  </cols>
  <sheetData>
    <row r="2" spans="1:15">
      <c r="H2" s="3"/>
    </row>
    <row r="3" spans="1:15">
      <c r="B3" s="2" t="s">
        <v>12</v>
      </c>
      <c r="C3" s="2" t="s">
        <v>11</v>
      </c>
      <c r="D3" s="2" t="s">
        <v>10</v>
      </c>
      <c r="E3" s="2" t="s">
        <v>13</v>
      </c>
      <c r="F3" s="2" t="s">
        <v>9</v>
      </c>
      <c r="G3" s="2" t="s">
        <v>8</v>
      </c>
      <c r="H3" s="2" t="s">
        <v>7</v>
      </c>
      <c r="I3" s="2" t="s">
        <v>6</v>
      </c>
      <c r="J3" s="2" t="s">
        <v>14</v>
      </c>
      <c r="K3" s="2" t="s">
        <v>5</v>
      </c>
      <c r="L3" s="2" t="s">
        <v>4</v>
      </c>
      <c r="M3" s="2" t="s">
        <v>3</v>
      </c>
      <c r="N3" s="2" t="s">
        <v>2</v>
      </c>
      <c r="O3" s="2" t="s">
        <v>1</v>
      </c>
    </row>
    <row r="4" spans="1:15">
      <c r="A4" t="s">
        <v>18</v>
      </c>
      <c r="B4">
        <v>32</v>
      </c>
      <c r="C4" s="1" t="str">
        <f>getManagedDisk(B4,$A$4,$A$5)</f>
        <v>standardhdd-s4</v>
      </c>
      <c r="D4" s="1">
        <f t="shared" ref="D4:D11" si="0">getManagedDiskPriceMonth(C4,$A$4,$A$5)</f>
        <v>1.536</v>
      </c>
      <c r="E4" s="5">
        <f>D4/B4</f>
        <v>4.8000000000000001E-2</v>
      </c>
      <c r="F4" t="str">
        <f t="shared" ref="F4:O11" si="1">getMDiskData($C4,$A$4,$A$5,F$3)</f>
        <v>Standard HDD S4</v>
      </c>
      <c r="G4" t="str">
        <f t="shared" si="1"/>
        <v>False</v>
      </c>
      <c r="H4" t="str">
        <f t="shared" si="1"/>
        <v>32</v>
      </c>
      <c r="I4" t="str">
        <f>getMDiskData($C4,$A$4,$A$5,I$3)</f>
        <v>500</v>
      </c>
      <c r="J4" s="7">
        <f t="shared" ref="J4:J11" si="2">D4/I4</f>
        <v>3.0720000000000001E-3</v>
      </c>
      <c r="K4" t="str">
        <f>getMDiskData($C4,$A$4,$A$5,K$3)</f>
        <v>60</v>
      </c>
      <c r="L4" t="str">
        <f t="shared" si="1"/>
        <v>0.0005</v>
      </c>
      <c r="M4" t="str">
        <f>getMDiskData($C4,$A$4,$A$5,M$3)</f>
        <v/>
      </c>
      <c r="N4" t="str">
        <f t="shared" si="1"/>
        <v>0.05</v>
      </c>
      <c r="O4" t="str">
        <f t="shared" si="1"/>
        <v/>
      </c>
    </row>
    <row r="5" spans="1:15">
      <c r="A5" t="s">
        <v>0</v>
      </c>
      <c r="B5">
        <f t="shared" ref="B5:B11" si="3">B4*2</f>
        <v>64</v>
      </c>
      <c r="C5" s="1" t="str">
        <f>getManagedDisk(B5,$A$4,$A$5)</f>
        <v>standardhdd-s6</v>
      </c>
      <c r="D5" s="1">
        <f t="shared" si="0"/>
        <v>3.008</v>
      </c>
      <c r="E5" s="5">
        <f t="shared" ref="E5:E11" si="4">D5/B5</f>
        <v>4.7E-2</v>
      </c>
      <c r="F5" t="str">
        <f t="shared" si="1"/>
        <v>Standard HDD S6</v>
      </c>
      <c r="G5" t="str">
        <f t="shared" si="1"/>
        <v>False</v>
      </c>
      <c r="H5" t="str">
        <f t="shared" si="1"/>
        <v>64</v>
      </c>
      <c r="I5" s="7" t="str">
        <f t="shared" si="1"/>
        <v>500</v>
      </c>
      <c r="J5" s="7">
        <f t="shared" si="2"/>
        <v>6.0159999999999996E-3</v>
      </c>
      <c r="K5" s="7" t="str">
        <f t="shared" ref="K5:K11" si="5">getMDiskData($C5,$A$4,$A$5,K$3)</f>
        <v>60</v>
      </c>
      <c r="L5" t="str">
        <f t="shared" si="1"/>
        <v>0.0005</v>
      </c>
      <c r="M5" t="str">
        <f t="shared" si="1"/>
        <v/>
      </c>
      <c r="N5" t="str">
        <f t="shared" si="1"/>
        <v>0.05</v>
      </c>
      <c r="O5" t="str">
        <f t="shared" si="1"/>
        <v/>
      </c>
    </row>
    <row r="6" spans="1:15">
      <c r="B6">
        <f t="shared" si="3"/>
        <v>128</v>
      </c>
      <c r="C6" s="1" t="str">
        <f t="shared" ref="C6:C10" si="6">getManagedDisk(B6,$A$4,$A$5)</f>
        <v>standardhdd-s10</v>
      </c>
      <c r="D6" s="1">
        <f t="shared" si="0"/>
        <v>5.8879999999999999</v>
      </c>
      <c r="E6" s="5">
        <f t="shared" si="4"/>
        <v>4.5999999999999999E-2</v>
      </c>
      <c r="F6" t="str">
        <f t="shared" si="1"/>
        <v>Standard HDD S10</v>
      </c>
      <c r="G6" t="str">
        <f t="shared" si="1"/>
        <v>False</v>
      </c>
      <c r="H6" t="str">
        <f t="shared" si="1"/>
        <v>128</v>
      </c>
      <c r="I6" s="7" t="str">
        <f t="shared" si="1"/>
        <v>500</v>
      </c>
      <c r="J6" s="7">
        <f t="shared" si="2"/>
        <v>1.1776E-2</v>
      </c>
      <c r="K6" s="7" t="str">
        <f t="shared" si="5"/>
        <v>60</v>
      </c>
      <c r="L6" t="str">
        <f t="shared" si="1"/>
        <v>0.0005</v>
      </c>
      <c r="M6" t="str">
        <f t="shared" si="1"/>
        <v/>
      </c>
      <c r="N6" t="str">
        <f t="shared" si="1"/>
        <v>0.05</v>
      </c>
      <c r="O6" t="str">
        <f t="shared" si="1"/>
        <v/>
      </c>
    </row>
    <row r="7" spans="1:15">
      <c r="B7">
        <f t="shared" si="3"/>
        <v>256</v>
      </c>
      <c r="C7" s="1" t="str">
        <f t="shared" si="6"/>
        <v>standardhdd-s15</v>
      </c>
      <c r="D7" s="1">
        <f t="shared" si="0"/>
        <v>11.327999999999999</v>
      </c>
      <c r="E7" s="5">
        <f t="shared" si="4"/>
        <v>4.4249999999999998E-2</v>
      </c>
      <c r="F7" t="str">
        <f t="shared" si="1"/>
        <v>Standard HDD S15</v>
      </c>
      <c r="G7" t="str">
        <f t="shared" si="1"/>
        <v>False</v>
      </c>
      <c r="H7" t="str">
        <f t="shared" si="1"/>
        <v>256</v>
      </c>
      <c r="I7" s="7" t="str">
        <f t="shared" si="1"/>
        <v>500</v>
      </c>
      <c r="J7" s="7">
        <f t="shared" si="2"/>
        <v>2.2655999999999999E-2</v>
      </c>
      <c r="K7" s="7" t="str">
        <f t="shared" si="5"/>
        <v>60</v>
      </c>
      <c r="L7" t="str">
        <f t="shared" si="1"/>
        <v>0.0005</v>
      </c>
      <c r="M7" t="str">
        <f t="shared" si="1"/>
        <v/>
      </c>
      <c r="N7" t="str">
        <f t="shared" si="1"/>
        <v>0.05</v>
      </c>
      <c r="O7" t="str">
        <f t="shared" si="1"/>
        <v/>
      </c>
    </row>
    <row r="8" spans="1:15">
      <c r="B8">
        <f t="shared" si="3"/>
        <v>512</v>
      </c>
      <c r="C8" s="1" t="str">
        <f t="shared" si="6"/>
        <v>standardhdd-s20</v>
      </c>
      <c r="D8" s="1">
        <f t="shared" si="0"/>
        <v>21.76</v>
      </c>
      <c r="E8" s="5">
        <f t="shared" si="4"/>
        <v>4.2500000000000003E-2</v>
      </c>
      <c r="F8" t="str">
        <f t="shared" si="1"/>
        <v>Standard HDD S20</v>
      </c>
      <c r="G8" t="str">
        <f t="shared" si="1"/>
        <v>False</v>
      </c>
      <c r="H8" t="str">
        <f t="shared" si="1"/>
        <v>512</v>
      </c>
      <c r="I8" s="7" t="str">
        <f t="shared" si="1"/>
        <v>500</v>
      </c>
      <c r="J8" s="7">
        <f t="shared" si="2"/>
        <v>4.3520000000000003E-2</v>
      </c>
      <c r="K8" s="7" t="str">
        <f t="shared" si="5"/>
        <v>60</v>
      </c>
      <c r="L8" t="str">
        <f t="shared" si="1"/>
        <v>0.0005</v>
      </c>
      <c r="M8" t="str">
        <f t="shared" si="1"/>
        <v/>
      </c>
      <c r="N8" t="str">
        <f t="shared" si="1"/>
        <v>0.05</v>
      </c>
      <c r="O8" t="str">
        <f t="shared" si="1"/>
        <v/>
      </c>
    </row>
    <row r="9" spans="1:15">
      <c r="B9">
        <f t="shared" si="3"/>
        <v>1024</v>
      </c>
      <c r="C9" s="1" t="str">
        <f t="shared" si="6"/>
        <v>standardhdd-s30</v>
      </c>
      <c r="D9" s="1">
        <f t="shared" si="0"/>
        <v>40.96</v>
      </c>
      <c r="E9" s="5">
        <f t="shared" si="4"/>
        <v>0.04</v>
      </c>
      <c r="F9" t="str">
        <f t="shared" si="1"/>
        <v>Standard HDD S30</v>
      </c>
      <c r="G9" t="str">
        <f t="shared" si="1"/>
        <v>False</v>
      </c>
      <c r="H9" t="str">
        <f t="shared" si="1"/>
        <v>1024</v>
      </c>
      <c r="I9" s="7" t="str">
        <f t="shared" si="1"/>
        <v>500</v>
      </c>
      <c r="J9" s="7">
        <f t="shared" si="2"/>
        <v>8.1920000000000007E-2</v>
      </c>
      <c r="K9" s="7" t="str">
        <f t="shared" si="5"/>
        <v>60</v>
      </c>
      <c r="L9" t="str">
        <f t="shared" si="1"/>
        <v>0.0005</v>
      </c>
      <c r="M9" t="str">
        <f t="shared" si="1"/>
        <v/>
      </c>
      <c r="N9" t="str">
        <f t="shared" si="1"/>
        <v>0.05</v>
      </c>
      <c r="O9" t="str">
        <f t="shared" si="1"/>
        <v/>
      </c>
    </row>
    <row r="10" spans="1:15">
      <c r="B10">
        <f t="shared" si="3"/>
        <v>2048</v>
      </c>
      <c r="C10" s="1" t="str">
        <f t="shared" si="6"/>
        <v>standardhdd-s40</v>
      </c>
      <c r="D10" s="1">
        <f t="shared" si="0"/>
        <v>77.823999999999998</v>
      </c>
      <c r="E10" s="5">
        <f t="shared" si="4"/>
        <v>3.7999999999999999E-2</v>
      </c>
      <c r="F10" t="str">
        <f t="shared" si="1"/>
        <v>Standard HDD S40</v>
      </c>
      <c r="G10" t="str">
        <f t="shared" si="1"/>
        <v>False</v>
      </c>
      <c r="H10" t="str">
        <f t="shared" si="1"/>
        <v>2048</v>
      </c>
      <c r="I10" s="7" t="str">
        <f t="shared" si="1"/>
        <v>500</v>
      </c>
      <c r="J10" s="7">
        <f t="shared" si="2"/>
        <v>0.15564800000000001</v>
      </c>
      <c r="K10" s="7" t="str">
        <f t="shared" si="5"/>
        <v>60</v>
      </c>
      <c r="L10" t="str">
        <f t="shared" si="1"/>
        <v>0.0005</v>
      </c>
      <c r="M10" t="str">
        <f t="shared" si="1"/>
        <v/>
      </c>
      <c r="N10" t="str">
        <f t="shared" si="1"/>
        <v>0.05</v>
      </c>
      <c r="O10" t="str">
        <f t="shared" si="1"/>
        <v/>
      </c>
    </row>
    <row r="11" spans="1:15">
      <c r="B11">
        <f t="shared" si="3"/>
        <v>4096</v>
      </c>
      <c r="C11" s="1" t="str">
        <f>getManagedDisk(B11,$A$4,$A$5,"-S60")</f>
        <v>standardhdd-s50</v>
      </c>
      <c r="D11" s="1">
        <f t="shared" si="0"/>
        <v>143.36000000000001</v>
      </c>
      <c r="E11" s="5">
        <f t="shared" si="4"/>
        <v>3.5000000000000003E-2</v>
      </c>
      <c r="F11" t="str">
        <f t="shared" si="1"/>
        <v>Standard HDD S50</v>
      </c>
      <c r="G11" t="str">
        <f t="shared" si="1"/>
        <v>False</v>
      </c>
      <c r="H11" t="str">
        <f t="shared" si="1"/>
        <v>4096</v>
      </c>
      <c r="I11" s="7" t="str">
        <f t="shared" si="1"/>
        <v>500</v>
      </c>
      <c r="J11" s="7">
        <f t="shared" si="2"/>
        <v>0.28672000000000003</v>
      </c>
      <c r="K11" s="7" t="str">
        <f t="shared" si="5"/>
        <v>60</v>
      </c>
      <c r="L11" t="str">
        <f t="shared" si="1"/>
        <v>0.0005</v>
      </c>
      <c r="M11" t="str">
        <f t="shared" si="1"/>
        <v/>
      </c>
      <c r="N11" t="str">
        <f t="shared" si="1"/>
        <v>0.05</v>
      </c>
      <c r="O11" t="str">
        <f t="shared" si="1"/>
        <v/>
      </c>
    </row>
    <row r="12" spans="1:15">
      <c r="E12" s="6"/>
    </row>
    <row r="13" spans="1:15">
      <c r="A13" s="2" t="s">
        <v>23</v>
      </c>
      <c r="B13">
        <v>32</v>
      </c>
      <c r="C13" s="1" t="str">
        <f>getManagedDisk(B13,$A$4,$A$5,,"ssd")</f>
        <v>standardssd-e4</v>
      </c>
      <c r="D13" s="1">
        <f t="shared" ref="D13:D19" si="7">getManagedDiskPriceMonth(C13,$A$4,$A$5)</f>
        <v>2.4</v>
      </c>
      <c r="E13" s="5">
        <f>D13/B13</f>
        <v>7.4999999999999997E-2</v>
      </c>
      <c r="F13" t="str">
        <f t="shared" ref="F13:O20" si="8">getMDiskData($C13,$A$4,$A$5,F$3)</f>
        <v>Standard SSD E4</v>
      </c>
      <c r="G13" t="str">
        <f t="shared" si="8"/>
        <v>False</v>
      </c>
      <c r="H13" t="str">
        <f t="shared" si="8"/>
        <v>32</v>
      </c>
      <c r="I13" t="str">
        <f t="shared" si="8"/>
        <v>120</v>
      </c>
      <c r="J13" s="7">
        <f>D13/I13</f>
        <v>0.02</v>
      </c>
      <c r="K13" t="str">
        <f t="shared" si="8"/>
        <v>25</v>
      </c>
      <c r="L13" t="str">
        <f t="shared" si="8"/>
        <v>0.002</v>
      </c>
      <c r="M13" t="str">
        <f t="shared" si="8"/>
        <v>0.132</v>
      </c>
      <c r="N13" t="str">
        <f t="shared" si="8"/>
        <v/>
      </c>
      <c r="O13" t="str">
        <f t="shared" si="8"/>
        <v/>
      </c>
    </row>
    <row r="14" spans="1:15">
      <c r="B14">
        <f t="shared" ref="B14:B20" si="9">B13*2</f>
        <v>64</v>
      </c>
      <c r="C14" s="1" t="str">
        <f t="shared" ref="C14:C19" si="10">getManagedDisk(B14,$A$4,$A$5,,$A$13)</f>
        <v>standardssd-e6</v>
      </c>
      <c r="D14" s="1">
        <f t="shared" si="7"/>
        <v>4.8</v>
      </c>
      <c r="E14" s="5">
        <f t="shared" ref="E14:E22" si="11">D14/B14</f>
        <v>7.4999999999999997E-2</v>
      </c>
      <c r="F14" t="str">
        <f t="shared" si="8"/>
        <v>Standard SSD E6</v>
      </c>
      <c r="G14" t="str">
        <f t="shared" si="8"/>
        <v>False</v>
      </c>
      <c r="H14" t="str">
        <f t="shared" si="8"/>
        <v>64</v>
      </c>
      <c r="I14" t="str">
        <f t="shared" si="8"/>
        <v>240</v>
      </c>
      <c r="J14" s="7">
        <f t="shared" ref="J14:J22" si="12">D14/I14</f>
        <v>0.02</v>
      </c>
      <c r="K14" t="str">
        <f t="shared" si="8"/>
        <v>50</v>
      </c>
      <c r="L14" t="str">
        <f t="shared" si="8"/>
        <v>0.002</v>
      </c>
      <c r="M14" t="str">
        <f t="shared" si="8"/>
        <v>0.132</v>
      </c>
      <c r="N14" t="str">
        <f t="shared" si="8"/>
        <v/>
      </c>
      <c r="O14" t="str">
        <f t="shared" si="8"/>
        <v/>
      </c>
    </row>
    <row r="15" spans="1:15">
      <c r="B15">
        <f t="shared" si="9"/>
        <v>128</v>
      </c>
      <c r="C15" s="1" t="str">
        <f t="shared" si="10"/>
        <v>standardssd-e10</v>
      </c>
      <c r="D15" s="1">
        <f t="shared" si="7"/>
        <v>9.6</v>
      </c>
      <c r="E15" s="5">
        <f t="shared" si="11"/>
        <v>7.4999999999999997E-2</v>
      </c>
      <c r="F15" t="str">
        <f t="shared" si="8"/>
        <v>Standard SSD E10</v>
      </c>
      <c r="G15" t="str">
        <f t="shared" si="8"/>
        <v>False</v>
      </c>
      <c r="H15" t="str">
        <f t="shared" si="8"/>
        <v>128</v>
      </c>
      <c r="I15" t="str">
        <f t="shared" si="8"/>
        <v>500</v>
      </c>
      <c r="J15" s="7">
        <f t="shared" si="12"/>
        <v>1.9199999999999998E-2</v>
      </c>
      <c r="K15" t="str">
        <f t="shared" si="8"/>
        <v>60</v>
      </c>
      <c r="L15" t="str">
        <f t="shared" si="8"/>
        <v>0.002</v>
      </c>
      <c r="M15" t="str">
        <f t="shared" si="8"/>
        <v>0.132</v>
      </c>
      <c r="N15" t="str">
        <f t="shared" si="8"/>
        <v/>
      </c>
      <c r="O15" t="str">
        <f t="shared" si="8"/>
        <v/>
      </c>
    </row>
    <row r="16" spans="1:15">
      <c r="B16">
        <f t="shared" si="9"/>
        <v>256</v>
      </c>
      <c r="C16" s="1" t="str">
        <f t="shared" si="10"/>
        <v>standardssd-e15</v>
      </c>
      <c r="D16" s="1">
        <f t="shared" si="7"/>
        <v>19.2</v>
      </c>
      <c r="E16" s="5">
        <f t="shared" si="11"/>
        <v>7.4999999999999997E-2</v>
      </c>
      <c r="F16" t="str">
        <f t="shared" si="8"/>
        <v>Standard SSD E15</v>
      </c>
      <c r="G16" t="str">
        <f t="shared" si="8"/>
        <v>False</v>
      </c>
      <c r="H16" t="str">
        <f t="shared" si="8"/>
        <v>256</v>
      </c>
      <c r="I16" t="str">
        <f t="shared" si="8"/>
        <v>500</v>
      </c>
      <c r="J16" s="7">
        <f t="shared" si="12"/>
        <v>3.8399999999999997E-2</v>
      </c>
      <c r="K16" t="str">
        <f t="shared" si="8"/>
        <v>60</v>
      </c>
      <c r="L16" t="str">
        <f t="shared" si="8"/>
        <v>0.002</v>
      </c>
      <c r="M16" t="str">
        <f t="shared" si="8"/>
        <v>0.132</v>
      </c>
      <c r="N16" t="str">
        <f t="shared" si="8"/>
        <v/>
      </c>
      <c r="O16" t="str">
        <f t="shared" si="8"/>
        <v/>
      </c>
    </row>
    <row r="17" spans="1:16">
      <c r="B17">
        <f t="shared" si="9"/>
        <v>512</v>
      </c>
      <c r="C17" s="1" t="str">
        <f>getManagedDisk(B17,$A$4,$A$5,,$A$13)</f>
        <v>standardssd-e20</v>
      </c>
      <c r="D17" s="1">
        <f t="shared" si="7"/>
        <v>38.4</v>
      </c>
      <c r="E17" s="5">
        <f t="shared" si="11"/>
        <v>7.4999999999999997E-2</v>
      </c>
      <c r="F17" t="str">
        <f t="shared" si="8"/>
        <v>Standard SSD E20</v>
      </c>
      <c r="G17" t="str">
        <f t="shared" si="8"/>
        <v>False</v>
      </c>
      <c r="H17" t="str">
        <f t="shared" si="8"/>
        <v>512</v>
      </c>
      <c r="I17" t="str">
        <f t="shared" si="8"/>
        <v>500</v>
      </c>
      <c r="J17" s="7">
        <f t="shared" si="12"/>
        <v>7.6799999999999993E-2</v>
      </c>
      <c r="K17" t="str">
        <f t="shared" si="8"/>
        <v>60</v>
      </c>
      <c r="L17" t="str">
        <f t="shared" si="8"/>
        <v>0.002</v>
      </c>
      <c r="M17" t="str">
        <f t="shared" si="8"/>
        <v>0.132</v>
      </c>
      <c r="N17" t="str">
        <f t="shared" si="8"/>
        <v/>
      </c>
      <c r="O17" t="str">
        <f t="shared" si="8"/>
        <v/>
      </c>
    </row>
    <row r="18" spans="1:16">
      <c r="B18">
        <f t="shared" si="9"/>
        <v>1024</v>
      </c>
      <c r="C18" s="1" t="str">
        <f t="shared" si="10"/>
        <v>standardssd-e30</v>
      </c>
      <c r="D18" s="1">
        <f t="shared" si="7"/>
        <v>76.8</v>
      </c>
      <c r="E18" s="5">
        <f t="shared" si="11"/>
        <v>7.4999999999999997E-2</v>
      </c>
      <c r="F18" t="str">
        <f t="shared" si="8"/>
        <v>Standard SSD E30</v>
      </c>
      <c r="G18" t="str">
        <f t="shared" si="8"/>
        <v>False</v>
      </c>
      <c r="H18" t="str">
        <f t="shared" si="8"/>
        <v>1024</v>
      </c>
      <c r="I18" t="str">
        <f t="shared" si="8"/>
        <v>500</v>
      </c>
      <c r="J18" s="7">
        <f t="shared" si="12"/>
        <v>0.15359999999999999</v>
      </c>
      <c r="K18" t="str">
        <f t="shared" si="8"/>
        <v>60</v>
      </c>
      <c r="L18" t="str">
        <f t="shared" si="8"/>
        <v>0.002</v>
      </c>
      <c r="M18" t="str">
        <f t="shared" si="8"/>
        <v>0.132</v>
      </c>
      <c r="N18" t="str">
        <f t="shared" si="8"/>
        <v/>
      </c>
      <c r="O18" t="str">
        <f t="shared" si="8"/>
        <v/>
      </c>
    </row>
    <row r="19" spans="1:16">
      <c r="B19">
        <f t="shared" si="9"/>
        <v>2048</v>
      </c>
      <c r="C19" s="1" t="str">
        <f t="shared" si="10"/>
        <v>standardssd-e40</v>
      </c>
      <c r="D19" s="1">
        <f t="shared" si="7"/>
        <v>153.6</v>
      </c>
      <c r="E19" s="5">
        <f t="shared" si="11"/>
        <v>7.4999999999999997E-2</v>
      </c>
      <c r="F19" t="str">
        <f t="shared" si="8"/>
        <v>Standard SSD E40</v>
      </c>
      <c r="G19" t="str">
        <f t="shared" si="8"/>
        <v>False</v>
      </c>
      <c r="H19" t="str">
        <f t="shared" si="8"/>
        <v>2048</v>
      </c>
      <c r="I19" t="str">
        <f t="shared" si="8"/>
        <v>500</v>
      </c>
      <c r="J19" s="7">
        <f t="shared" si="12"/>
        <v>0.30719999999999997</v>
      </c>
      <c r="K19" t="str">
        <f t="shared" si="8"/>
        <v>60</v>
      </c>
      <c r="L19" t="str">
        <f t="shared" si="8"/>
        <v>0.002</v>
      </c>
      <c r="M19" t="str">
        <f t="shared" si="8"/>
        <v>0.132</v>
      </c>
      <c r="N19" t="str">
        <f t="shared" si="8"/>
        <v/>
      </c>
      <c r="O19" t="str">
        <f t="shared" si="8"/>
        <v/>
      </c>
    </row>
    <row r="20" spans="1:16">
      <c r="B20">
        <f t="shared" si="9"/>
        <v>4096</v>
      </c>
      <c r="C20" s="1" t="str">
        <f>getManagedDisk(B20,$A$4,$A$5,"ultra",$A$13)</f>
        <v>standardssd-e50</v>
      </c>
      <c r="D20" s="1">
        <f>getManagedDiskPriceMonth(C20,$A$4,$A$5)</f>
        <v>307.2</v>
      </c>
      <c r="E20" s="5">
        <f t="shared" si="11"/>
        <v>7.4999999999999997E-2</v>
      </c>
      <c r="F20" t="str">
        <f t="shared" si="8"/>
        <v>Standard SSD E50</v>
      </c>
      <c r="G20" t="str">
        <f t="shared" si="8"/>
        <v>False</v>
      </c>
      <c r="H20" t="str">
        <f t="shared" si="8"/>
        <v>4096</v>
      </c>
      <c r="I20" t="str">
        <f t="shared" si="8"/>
        <v>500</v>
      </c>
      <c r="J20" s="7">
        <f t="shared" si="12"/>
        <v>0.61439999999999995</v>
      </c>
      <c r="K20" t="str">
        <f t="shared" si="8"/>
        <v>60</v>
      </c>
      <c r="L20" t="str">
        <f t="shared" si="8"/>
        <v>0.002</v>
      </c>
      <c r="M20" t="str">
        <f t="shared" si="8"/>
        <v>0.132</v>
      </c>
      <c r="N20" t="str">
        <f t="shared" si="8"/>
        <v/>
      </c>
      <c r="O20" t="str">
        <f t="shared" si="8"/>
        <v/>
      </c>
    </row>
    <row r="21" spans="1:16">
      <c r="B21" s="8">
        <f>B20</f>
        <v>4096</v>
      </c>
      <c r="C21" s="1" t="str">
        <f>getManagedDisk(B21,$A$4,$A$5,,"premium")</f>
        <v>premiumssd-p50</v>
      </c>
      <c r="D21" s="1">
        <f>getManagedDiskPriceMonth(C21,$A$4,$A$5)</f>
        <v>495.56569999999999</v>
      </c>
      <c r="E21" s="5">
        <f t="shared" si="11"/>
        <v>0.1209877197265625</v>
      </c>
      <c r="F21" t="str">
        <f t="shared" ref="F21:M22" si="13">getMDiskData($C21,$A$4,$A$5,F$3)</f>
        <v>Premium SSD P50</v>
      </c>
      <c r="G21" t="str">
        <f t="shared" si="13"/>
        <v>False</v>
      </c>
      <c r="H21" t="str">
        <f t="shared" si="13"/>
        <v>4096</v>
      </c>
      <c r="I21" t="str">
        <f t="shared" si="13"/>
        <v>7500</v>
      </c>
      <c r="J21" s="7">
        <f t="shared" si="12"/>
        <v>6.6075426666666659E-2</v>
      </c>
      <c r="K21" t="str">
        <f t="shared" si="13"/>
        <v>250</v>
      </c>
      <c r="L21" t="str">
        <f t="shared" si="13"/>
        <v>0.002</v>
      </c>
      <c r="M21" t="str">
        <f t="shared" si="13"/>
        <v>0.132</v>
      </c>
    </row>
    <row r="22" spans="1:16">
      <c r="B22" s="8">
        <f>B21</f>
        <v>4096</v>
      </c>
      <c r="C22" s="1" t="str">
        <f>getManagedDisk(B22,$A$4,$A$5,,$A$13)</f>
        <v>standardssd-e50</v>
      </c>
      <c r="D22" s="1">
        <f>getManagedDiskPriceMonth(C22,$A$4,$A$5)</f>
        <v>307.2</v>
      </c>
      <c r="E22" s="5">
        <f t="shared" si="11"/>
        <v>7.4999999999999997E-2</v>
      </c>
      <c r="F22" s="4" t="str">
        <f t="shared" si="13"/>
        <v>Standard SSD E50</v>
      </c>
      <c r="G22" s="4" t="str">
        <f t="shared" si="13"/>
        <v>False</v>
      </c>
      <c r="H22" s="4" t="str">
        <f t="shared" si="13"/>
        <v>4096</v>
      </c>
      <c r="I22" s="4" t="str">
        <f t="shared" si="13"/>
        <v>500</v>
      </c>
      <c r="J22" s="7">
        <f t="shared" si="12"/>
        <v>0.61439999999999995</v>
      </c>
      <c r="K22" s="4" t="str">
        <f t="shared" si="13"/>
        <v>60</v>
      </c>
      <c r="L22" s="4" t="str">
        <f t="shared" si="13"/>
        <v>0.002</v>
      </c>
      <c r="M22" s="4" t="str">
        <f t="shared" si="13"/>
        <v>0.132</v>
      </c>
    </row>
    <row r="24" spans="1:16">
      <c r="A24" s="2" t="s">
        <v>15</v>
      </c>
      <c r="B24" s="7">
        <v>32</v>
      </c>
      <c r="C24" s="1" t="str">
        <f>getManagedDisk(B24,$A$4,$A$5,,$A$24)</f>
        <v>standardssd-e4</v>
      </c>
      <c r="D24" s="1">
        <f t="shared" ref="D24:D30" si="14">getManagedDiskPriceMonth(C24,$A$4,$A$5)</f>
        <v>2.4</v>
      </c>
      <c r="E24" s="5">
        <f>D24/B24</f>
        <v>7.4999999999999997E-2</v>
      </c>
      <c r="F24" s="7" t="str">
        <f t="shared" ref="F24:O33" si="15">getMDiskData($C24,$A$4,$A$5,F$3)</f>
        <v>Standard SSD E4</v>
      </c>
      <c r="G24" s="7" t="str">
        <f t="shared" si="15"/>
        <v>False</v>
      </c>
      <c r="H24" s="7" t="str">
        <f t="shared" si="15"/>
        <v>32</v>
      </c>
      <c r="I24" s="7" t="str">
        <f t="shared" si="15"/>
        <v>120</v>
      </c>
      <c r="J24" s="7">
        <f>D24/I24</f>
        <v>0.02</v>
      </c>
      <c r="K24" s="7" t="str">
        <f t="shared" si="15"/>
        <v>25</v>
      </c>
      <c r="L24" s="7" t="str">
        <f t="shared" si="15"/>
        <v>0.002</v>
      </c>
      <c r="M24" s="7" t="str">
        <f t="shared" si="15"/>
        <v>0.132</v>
      </c>
      <c r="N24" s="7" t="str">
        <f t="shared" si="15"/>
        <v/>
      </c>
      <c r="O24" s="7" t="str">
        <f t="shared" si="15"/>
        <v/>
      </c>
      <c r="P24" s="7"/>
    </row>
    <row r="25" spans="1:16">
      <c r="A25" s="7"/>
      <c r="B25" s="7">
        <f t="shared" ref="B25:B31" si="16">B24*2</f>
        <v>64</v>
      </c>
      <c r="C25" s="1" t="str">
        <f>getManagedDisk(B25,$A$4,$A$5,,$A$24)</f>
        <v>standardssd-e6</v>
      </c>
      <c r="D25" s="1">
        <f>getManagedDiskPriceMonth(C25,$A$4,$A$5)</f>
        <v>4.8</v>
      </c>
      <c r="E25" s="5">
        <f t="shared" ref="E25:E33" si="17">D25/B25</f>
        <v>7.4999999999999997E-2</v>
      </c>
      <c r="F25" s="7" t="str">
        <f t="shared" si="15"/>
        <v>Standard SSD E6</v>
      </c>
      <c r="G25" s="7" t="str">
        <f t="shared" si="15"/>
        <v>False</v>
      </c>
      <c r="H25" s="7" t="str">
        <f t="shared" si="15"/>
        <v>64</v>
      </c>
      <c r="I25" s="7" t="str">
        <f t="shared" si="15"/>
        <v>240</v>
      </c>
      <c r="J25" s="7">
        <f t="shared" ref="J25:J33" si="18">D25/I25</f>
        <v>0.02</v>
      </c>
      <c r="K25" s="7" t="str">
        <f t="shared" si="15"/>
        <v>50</v>
      </c>
      <c r="L25" s="7" t="str">
        <f t="shared" si="15"/>
        <v>0.002</v>
      </c>
      <c r="M25" s="7" t="str">
        <f t="shared" si="15"/>
        <v>0.132</v>
      </c>
      <c r="N25" s="7" t="str">
        <f t="shared" si="15"/>
        <v/>
      </c>
      <c r="O25" s="7" t="str">
        <f t="shared" si="15"/>
        <v/>
      </c>
      <c r="P25" s="7"/>
    </row>
    <row r="26" spans="1:16">
      <c r="A26" s="7"/>
      <c r="B26" s="7">
        <f t="shared" si="16"/>
        <v>128</v>
      </c>
      <c r="C26" s="1" t="str">
        <f t="shared" ref="C26:C32" si="19">getManagedDisk(B26,$A$4,$A$5,,$A$24)</f>
        <v>standardssd-e10</v>
      </c>
      <c r="D26" s="1">
        <f>getManagedDiskPriceMonth(C26,$A$4,$A$5)</f>
        <v>9.6</v>
      </c>
      <c r="E26" s="5">
        <f t="shared" si="17"/>
        <v>7.4999999999999997E-2</v>
      </c>
      <c r="F26" s="7" t="str">
        <f t="shared" si="15"/>
        <v>Standard SSD E10</v>
      </c>
      <c r="G26" s="7" t="str">
        <f t="shared" si="15"/>
        <v>False</v>
      </c>
      <c r="H26" s="7" t="str">
        <f t="shared" si="15"/>
        <v>128</v>
      </c>
      <c r="I26" s="7" t="str">
        <f t="shared" si="15"/>
        <v>500</v>
      </c>
      <c r="J26" s="7">
        <f t="shared" si="18"/>
        <v>1.9199999999999998E-2</v>
      </c>
      <c r="K26" s="7" t="str">
        <f t="shared" si="15"/>
        <v>60</v>
      </c>
      <c r="L26" s="7" t="str">
        <f t="shared" si="15"/>
        <v>0.002</v>
      </c>
      <c r="M26" s="7" t="str">
        <f t="shared" si="15"/>
        <v>0.132</v>
      </c>
      <c r="N26" s="7" t="str">
        <f t="shared" si="15"/>
        <v/>
      </c>
      <c r="O26" s="7" t="str">
        <f t="shared" si="15"/>
        <v/>
      </c>
      <c r="P26" s="7"/>
    </row>
    <row r="27" spans="1:16">
      <c r="A27" s="7"/>
      <c r="B27" s="7">
        <f t="shared" si="16"/>
        <v>256</v>
      </c>
      <c r="C27" s="1" t="str">
        <f>getManagedDisk(B27,$A$4,$A$5,,$A$24)</f>
        <v>standardssd-e15</v>
      </c>
      <c r="D27" s="1">
        <f>getManagedDiskPriceMonth(C27,$A$4,$A$5)</f>
        <v>19.2</v>
      </c>
      <c r="E27" s="5">
        <f t="shared" si="17"/>
        <v>7.4999999999999997E-2</v>
      </c>
      <c r="F27" s="7" t="str">
        <f t="shared" si="15"/>
        <v>Standard SSD E15</v>
      </c>
      <c r="G27" s="7" t="str">
        <f t="shared" si="15"/>
        <v>False</v>
      </c>
      <c r="H27" s="7" t="str">
        <f t="shared" si="15"/>
        <v>256</v>
      </c>
      <c r="I27" s="7" t="str">
        <f t="shared" si="15"/>
        <v>500</v>
      </c>
      <c r="J27" s="7">
        <f t="shared" si="18"/>
        <v>3.8399999999999997E-2</v>
      </c>
      <c r="K27" s="7" t="str">
        <f t="shared" si="15"/>
        <v>60</v>
      </c>
      <c r="L27" s="7" t="str">
        <f t="shared" si="15"/>
        <v>0.002</v>
      </c>
      <c r="M27" s="7" t="str">
        <f t="shared" si="15"/>
        <v>0.132</v>
      </c>
      <c r="N27" s="7" t="str">
        <f t="shared" si="15"/>
        <v/>
      </c>
      <c r="O27" s="7" t="str">
        <f t="shared" si="15"/>
        <v/>
      </c>
      <c r="P27" s="7"/>
    </row>
    <row r="28" spans="1:16">
      <c r="A28" s="7"/>
      <c r="B28" s="7">
        <f t="shared" si="16"/>
        <v>512</v>
      </c>
      <c r="C28" s="1" t="str">
        <f>getManagedDisk(B28,$A$4,$A$5,,$A$24)</f>
        <v>standardssd-e20</v>
      </c>
      <c r="D28" s="1">
        <f t="shared" si="14"/>
        <v>38.4</v>
      </c>
      <c r="E28" s="5">
        <f t="shared" si="17"/>
        <v>7.4999999999999997E-2</v>
      </c>
      <c r="F28" s="7" t="str">
        <f>getMDiskData($C28,$A$4,$A$5,F$3)</f>
        <v>Standard SSD E20</v>
      </c>
      <c r="G28" s="7" t="str">
        <f t="shared" si="15"/>
        <v>False</v>
      </c>
      <c r="H28" s="7" t="str">
        <f t="shared" si="15"/>
        <v>512</v>
      </c>
      <c r="I28" s="7" t="str">
        <f t="shared" si="15"/>
        <v>500</v>
      </c>
      <c r="J28" s="7">
        <f t="shared" si="18"/>
        <v>7.6799999999999993E-2</v>
      </c>
      <c r="K28" s="7" t="str">
        <f t="shared" si="15"/>
        <v>60</v>
      </c>
      <c r="L28" s="7" t="str">
        <f t="shared" si="15"/>
        <v>0.002</v>
      </c>
      <c r="M28" s="7" t="str">
        <f t="shared" si="15"/>
        <v>0.132</v>
      </c>
      <c r="N28" s="7" t="str">
        <f t="shared" si="15"/>
        <v/>
      </c>
      <c r="O28" s="7" t="str">
        <f t="shared" si="15"/>
        <v/>
      </c>
      <c r="P28" s="7"/>
    </row>
    <row r="29" spans="1:16">
      <c r="A29" s="7"/>
      <c r="B29" s="7">
        <f t="shared" si="16"/>
        <v>1024</v>
      </c>
      <c r="C29" s="1" t="str">
        <f t="shared" si="19"/>
        <v>standardssd-e30</v>
      </c>
      <c r="D29" s="1">
        <f t="shared" si="14"/>
        <v>76.8</v>
      </c>
      <c r="E29" s="5">
        <f t="shared" si="17"/>
        <v>7.4999999999999997E-2</v>
      </c>
      <c r="F29" s="7" t="str">
        <f t="shared" si="15"/>
        <v>Standard SSD E30</v>
      </c>
      <c r="G29" s="7" t="str">
        <f t="shared" si="15"/>
        <v>False</v>
      </c>
      <c r="H29" s="7" t="str">
        <f t="shared" si="15"/>
        <v>1024</v>
      </c>
      <c r="I29" s="7" t="str">
        <f t="shared" si="15"/>
        <v>500</v>
      </c>
      <c r="J29" s="7">
        <f t="shared" si="18"/>
        <v>0.15359999999999999</v>
      </c>
      <c r="K29" s="7" t="str">
        <f t="shared" si="15"/>
        <v>60</v>
      </c>
      <c r="L29" s="7" t="str">
        <f t="shared" si="15"/>
        <v>0.002</v>
      </c>
      <c r="M29" s="7" t="str">
        <f t="shared" si="15"/>
        <v>0.132</v>
      </c>
      <c r="N29" s="7" t="str">
        <f t="shared" si="15"/>
        <v/>
      </c>
      <c r="O29" s="7" t="str">
        <f t="shared" si="15"/>
        <v/>
      </c>
      <c r="P29" s="7"/>
    </row>
    <row r="30" spans="1:16">
      <c r="A30" s="7"/>
      <c r="B30" s="7">
        <f t="shared" si="16"/>
        <v>2048</v>
      </c>
      <c r="C30" s="1" t="str">
        <f t="shared" si="19"/>
        <v>standardssd-e40</v>
      </c>
      <c r="D30" s="1">
        <f t="shared" si="14"/>
        <v>153.6</v>
      </c>
      <c r="E30" s="5">
        <f t="shared" si="17"/>
        <v>7.4999999999999997E-2</v>
      </c>
      <c r="F30" s="7" t="str">
        <f t="shared" si="15"/>
        <v>Standard SSD E40</v>
      </c>
      <c r="G30" s="7" t="str">
        <f t="shared" si="15"/>
        <v>False</v>
      </c>
      <c r="H30" s="7" t="str">
        <f t="shared" si="15"/>
        <v>2048</v>
      </c>
      <c r="I30" s="7" t="str">
        <f t="shared" si="15"/>
        <v>500</v>
      </c>
      <c r="J30" s="7">
        <f t="shared" si="18"/>
        <v>0.30719999999999997</v>
      </c>
      <c r="K30" s="7" t="str">
        <f t="shared" si="15"/>
        <v>60</v>
      </c>
      <c r="L30" s="7" t="str">
        <f t="shared" si="15"/>
        <v>0.002</v>
      </c>
      <c r="M30" s="7" t="str">
        <f t="shared" si="15"/>
        <v>0.132</v>
      </c>
      <c r="N30" s="7" t="str">
        <f t="shared" si="15"/>
        <v/>
      </c>
      <c r="O30" s="7" t="str">
        <f t="shared" si="15"/>
        <v/>
      </c>
      <c r="P30" s="7"/>
    </row>
    <row r="31" spans="1:16">
      <c r="A31" s="7"/>
      <c r="B31" s="7">
        <f t="shared" si="16"/>
        <v>4096</v>
      </c>
      <c r="C31" s="1" t="str">
        <f t="shared" si="19"/>
        <v>standardssd-e50</v>
      </c>
      <c r="D31" s="1">
        <f>getManagedDiskPriceMonth(C31,$A$4,$A$5)</f>
        <v>307.2</v>
      </c>
      <c r="E31" s="5">
        <f t="shared" si="17"/>
        <v>7.4999999999999997E-2</v>
      </c>
      <c r="F31" s="7" t="str">
        <f t="shared" si="15"/>
        <v>Standard SSD E50</v>
      </c>
      <c r="G31" s="7" t="str">
        <f t="shared" si="15"/>
        <v>False</v>
      </c>
      <c r="H31" s="7" t="str">
        <f t="shared" si="15"/>
        <v>4096</v>
      </c>
      <c r="I31" s="7" t="str">
        <f t="shared" si="15"/>
        <v>500</v>
      </c>
      <c r="J31" s="7">
        <f t="shared" si="18"/>
        <v>0.61439999999999995</v>
      </c>
      <c r="K31" s="7" t="str">
        <f t="shared" si="15"/>
        <v>60</v>
      </c>
      <c r="L31" s="7" t="str">
        <f t="shared" si="15"/>
        <v>0.002</v>
      </c>
      <c r="M31" s="7" t="str">
        <f t="shared" si="15"/>
        <v>0.132</v>
      </c>
      <c r="N31" s="7" t="str">
        <f t="shared" si="15"/>
        <v/>
      </c>
      <c r="O31" s="7" t="str">
        <f t="shared" si="15"/>
        <v/>
      </c>
      <c r="P31" s="7"/>
    </row>
    <row r="32" spans="1:16">
      <c r="A32" s="7"/>
      <c r="B32" s="7">
        <f>B31*3</f>
        <v>12288</v>
      </c>
      <c r="C32" s="1" t="str">
        <f t="shared" si="19"/>
        <v>standardssd-e70</v>
      </c>
      <c r="D32" s="1">
        <f>getManagedDiskPriceMonth(C32,$A$4,$A$5)</f>
        <v>1228.8</v>
      </c>
      <c r="E32" s="5">
        <f t="shared" si="17"/>
        <v>9.9999999999999992E-2</v>
      </c>
      <c r="F32" s="7" t="str">
        <f t="shared" si="15"/>
        <v>Standard SSD E70</v>
      </c>
      <c r="G32" s="7" t="str">
        <f t="shared" si="15"/>
        <v>False</v>
      </c>
      <c r="H32" s="7" t="str">
        <f t="shared" si="15"/>
        <v>16384</v>
      </c>
      <c r="I32" s="7" t="str">
        <f t="shared" si="15"/>
        <v>4000</v>
      </c>
      <c r="J32" s="7">
        <f t="shared" si="18"/>
        <v>0.30719999999999997</v>
      </c>
      <c r="K32" s="7" t="str">
        <f t="shared" si="15"/>
        <v>600</v>
      </c>
      <c r="L32" s="7" t="str">
        <f t="shared" si="15"/>
        <v>0.002</v>
      </c>
      <c r="M32" s="7" t="str">
        <f t="shared" si="15"/>
        <v>0.132</v>
      </c>
      <c r="N32" s="7"/>
      <c r="O32" s="7"/>
      <c r="P32" s="7"/>
    </row>
    <row r="33" spans="1:16">
      <c r="A33" s="7"/>
      <c r="B33" s="7">
        <f>B32*2</f>
        <v>24576</v>
      </c>
      <c r="C33" s="1" t="str">
        <f>getManagedDisk(B33,$A$4,$A$5,,$A$24)</f>
        <v>standardssd-e80</v>
      </c>
      <c r="D33" s="1">
        <f>getManagedDiskPriceMonth(C33,$A$4,$A$5)</f>
        <v>2457.6</v>
      </c>
      <c r="E33" s="5">
        <f t="shared" si="17"/>
        <v>9.9999999999999992E-2</v>
      </c>
      <c r="F33" s="7" t="str">
        <f t="shared" si="15"/>
        <v>Standard SSD E80</v>
      </c>
      <c r="G33" s="7" t="str">
        <f t="shared" si="15"/>
        <v>False</v>
      </c>
      <c r="H33" s="7" t="str">
        <f t="shared" si="15"/>
        <v>32767</v>
      </c>
      <c r="I33" s="7" t="str">
        <f t="shared" si="15"/>
        <v>6000</v>
      </c>
      <c r="J33" s="7">
        <f t="shared" si="18"/>
        <v>0.40959999999999996</v>
      </c>
      <c r="K33" s="7" t="str">
        <f t="shared" si="15"/>
        <v>750</v>
      </c>
      <c r="L33" s="7" t="str">
        <f t="shared" si="15"/>
        <v>0.002</v>
      </c>
      <c r="M33" s="7" t="str">
        <f t="shared" si="15"/>
        <v>0.132</v>
      </c>
      <c r="N33" s="7"/>
      <c r="O33" s="7"/>
      <c r="P33" s="7"/>
    </row>
    <row r="35" spans="1:16">
      <c r="B35" s="2" t="s">
        <v>17</v>
      </c>
      <c r="C35" s="2" t="s">
        <v>16</v>
      </c>
      <c r="D35" s="2" t="s">
        <v>20</v>
      </c>
      <c r="E35" s="2" t="s">
        <v>21</v>
      </c>
      <c r="F35" s="2" t="s">
        <v>22</v>
      </c>
      <c r="G35" s="2" t="s">
        <v>10</v>
      </c>
    </row>
    <row r="36" spans="1:16">
      <c r="A36" s="2" t="s">
        <v>19</v>
      </c>
      <c r="B36" s="8">
        <v>32</v>
      </c>
      <c r="C36" t="s">
        <v>180</v>
      </c>
      <c r="D36" s="8" t="s">
        <v>181</v>
      </c>
      <c r="E36" s="25" t="str" cm="1">
        <f t="array" ref="E36">getUSSD(B36,C36,D36,$A$4,$A$5)</f>
        <v>ultrassd-u32</v>
      </c>
      <c r="F36" s="25" cm="1">
        <f t="array" ref="F36">getUSSDPriceHour(E36,C36,D36,$A$4,$A$5)</f>
        <v>2.3828999999999999E-2</v>
      </c>
      <c r="G36">
        <f>F36*730</f>
        <v>17.39517</v>
      </c>
      <c r="H36" s="1"/>
      <c r="I36" s="1"/>
      <c r="K36" s="8"/>
    </row>
    <row r="37" spans="1:16">
      <c r="B37" s="8">
        <f t="shared" ref="B37:B43" si="20">B36*2</f>
        <v>64</v>
      </c>
      <c r="C37" s="8" t="s">
        <v>182</v>
      </c>
      <c r="D37" s="8" t="s">
        <v>183</v>
      </c>
      <c r="E37" s="25" t="str" cm="1">
        <f t="array" ref="E37">getUSSD(B37,C37,D37,$A$4,$A$5)</f>
        <v>ultrassd-u64</v>
      </c>
      <c r="F37" s="25" cm="1">
        <f t="array" ref="F37">getUSSDPriceHour(E37,C37,D37,$A$4,$A$5)</f>
        <v>4.7657999999999999E-2</v>
      </c>
      <c r="G37" s="8">
        <f t="shared" ref="G37:G45" si="21">F37*730</f>
        <v>34.79034</v>
      </c>
      <c r="H37" s="1"/>
      <c r="I37" s="1"/>
      <c r="J37" s="8"/>
      <c r="K37" s="8"/>
      <c r="L37" s="8"/>
    </row>
    <row r="38" spans="1:16">
      <c r="B38" s="8">
        <v>128</v>
      </c>
      <c r="C38" s="8" t="s">
        <v>184</v>
      </c>
      <c r="D38" s="8" t="s">
        <v>185</v>
      </c>
      <c r="E38" s="25" t="str" cm="1">
        <f t="array" ref="E38">getUSSD(B38,C38,D38,$A$4,$A$5)</f>
        <v>ultrassd-u128</v>
      </c>
      <c r="F38" s="25" cm="1">
        <f t="array" ref="F38">getUSSDPriceHour(E38,C38,D38,$A$4,$A$5)</f>
        <v>9.5995999999999998E-2</v>
      </c>
      <c r="G38" s="8">
        <f t="shared" si="21"/>
        <v>70.077079999999995</v>
      </c>
      <c r="H38" s="1"/>
      <c r="I38" s="1"/>
      <c r="J38" s="8"/>
      <c r="K38" s="8"/>
      <c r="L38" s="8"/>
    </row>
    <row r="39" spans="1:16">
      <c r="B39" s="8">
        <v>256</v>
      </c>
      <c r="C39" s="8" t="s">
        <v>186</v>
      </c>
      <c r="D39" s="8" t="s">
        <v>187</v>
      </c>
      <c r="E39" s="25" t="str" cm="1">
        <f t="array" ref="E39">getUSSD(B39,C39,D39,$A$4,$A$5)</f>
        <v>ultrassd-u256</v>
      </c>
      <c r="F39" s="25" cm="1">
        <f t="array" ref="F39">getUSSDPriceHour(E39,C39,D39,$A$4,$A$5)</f>
        <v>0.14401700000000001</v>
      </c>
      <c r="G39" s="8">
        <f t="shared" si="21"/>
        <v>105.13241000000001</v>
      </c>
      <c r="H39" s="1"/>
      <c r="I39" s="1"/>
      <c r="J39" s="8"/>
      <c r="K39" s="8"/>
      <c r="L39" s="8"/>
    </row>
    <row r="40" spans="1:16">
      <c r="B40" s="8">
        <f t="shared" si="20"/>
        <v>512</v>
      </c>
      <c r="C40" s="8" t="s">
        <v>188</v>
      </c>
      <c r="D40" s="8" t="s">
        <v>189</v>
      </c>
      <c r="E40" s="25" t="str" cm="1">
        <f t="array" ref="E40">getUSSD(B40,C40,D40,$A$4,$A$5)</f>
        <v>ultrassd-u512</v>
      </c>
      <c r="F40" s="25" cm="1">
        <f t="array" ref="F40">getUSSDPriceHour(E40,C40,D40,$A$4,$A$5)</f>
        <v>0.22293399999999999</v>
      </c>
      <c r="G40" s="8">
        <f t="shared" si="21"/>
        <v>162.74181999999999</v>
      </c>
      <c r="H40" s="1"/>
      <c r="I40" s="1"/>
      <c r="J40" s="8"/>
      <c r="K40" s="8"/>
      <c r="L40" s="8"/>
    </row>
    <row r="41" spans="1:16">
      <c r="B41" s="8">
        <f t="shared" si="20"/>
        <v>1024</v>
      </c>
      <c r="C41" s="8" t="s">
        <v>190</v>
      </c>
      <c r="D41" s="8" t="s">
        <v>191</v>
      </c>
      <c r="E41" s="25" t="str" cm="1">
        <f t="array" ref="E41">getUSSD(B41,C41,D41,$A$4,$A$5)</f>
        <v>ultrassd-u1024</v>
      </c>
      <c r="F41" s="25" cm="1">
        <f t="array" ref="F41">getUSSDPriceHour(E41,C41,D41,$A$4,$A$5)</f>
        <v>0.39096799999999998</v>
      </c>
      <c r="G41" s="8">
        <f t="shared" si="21"/>
        <v>285.40663999999998</v>
      </c>
      <c r="H41" s="1"/>
      <c r="I41" s="1"/>
      <c r="J41" s="8"/>
      <c r="K41" s="8"/>
      <c r="L41" s="8"/>
    </row>
    <row r="42" spans="1:16">
      <c r="B42" s="8">
        <f t="shared" si="20"/>
        <v>2048</v>
      </c>
      <c r="C42" s="8" t="s">
        <v>192</v>
      </c>
      <c r="D42" s="8" t="s">
        <v>193</v>
      </c>
      <c r="E42" s="25" t="str" cm="1">
        <f t="array" ref="E42">getUSSD(B42,C42,D42,$A$4,$A$5)</f>
        <v>ultrassd-u2048</v>
      </c>
      <c r="F42" s="25" cm="1">
        <f t="array" ref="F42">getUSSDPriceHour(E42,C42,D42,$A$4,$A$5)</f>
        <v>0.59418599999999999</v>
      </c>
      <c r="G42" s="8">
        <f t="shared" si="21"/>
        <v>433.75578000000002</v>
      </c>
      <c r="H42" s="1"/>
      <c r="I42" s="1"/>
      <c r="J42" s="8"/>
      <c r="K42" s="8"/>
      <c r="L42" s="8"/>
    </row>
    <row r="43" spans="1:16">
      <c r="B43" s="8">
        <f t="shared" si="20"/>
        <v>4096</v>
      </c>
      <c r="C43" s="8" t="s">
        <v>192</v>
      </c>
      <c r="D43" s="8" t="s">
        <v>193</v>
      </c>
      <c r="E43" s="25" t="str" cm="1">
        <f t="array" ref="E43">getUSSD(B43,C43,D43,$A$4,$A$5)</f>
        <v>ultrassd-u4096</v>
      </c>
      <c r="F43" s="25" cm="1">
        <f t="array" ref="F43">getUSSDPriceHour(E43,C43,D43,$A$4,$A$5)</f>
        <v>0.76212199999999997</v>
      </c>
      <c r="G43" s="8">
        <f t="shared" si="21"/>
        <v>556.34906000000001</v>
      </c>
      <c r="H43" s="1"/>
      <c r="I43" s="1"/>
      <c r="J43" s="8"/>
      <c r="K43" s="8"/>
      <c r="L43" s="8"/>
    </row>
    <row r="44" spans="1:16">
      <c r="B44" s="8">
        <f>B43*3</f>
        <v>12288</v>
      </c>
      <c r="C44" s="8" t="s">
        <v>194</v>
      </c>
      <c r="D44" s="8" t="s">
        <v>195</v>
      </c>
      <c r="E44" s="25" t="str" cm="1">
        <f t="array" ref="E44">getUSSD(B44,C44,D44,$A$4,$A$5)</f>
        <v>ultrassd-u12288</v>
      </c>
      <c r="F44" s="25" cm="1">
        <f t="array" ref="F44">getUSSDPriceHour(E44,C44,D44,$A$4,$A$5)</f>
        <v>2.1333660000000001</v>
      </c>
      <c r="G44" s="8">
        <f t="shared" si="21"/>
        <v>1557.35718</v>
      </c>
      <c r="H44" s="1"/>
      <c r="I44" s="1"/>
      <c r="J44" s="8"/>
      <c r="K44" s="8"/>
      <c r="L44" s="8"/>
    </row>
    <row r="45" spans="1:16">
      <c r="B45" s="8">
        <f>B44*2</f>
        <v>24576</v>
      </c>
      <c r="C45" s="8" t="s">
        <v>196</v>
      </c>
      <c r="D45" s="8" t="s">
        <v>197</v>
      </c>
      <c r="E45" s="25" t="str" cm="1">
        <f t="array" ref="E45">getUSSD(B45,C45,D45,$A$4,$A$5)</f>
        <v>ultrassd-u24576</v>
      </c>
      <c r="F45" s="25" cm="1">
        <f t="array" ref="F45">getUSSDPriceHour(E45,C45,D45,$A$4,$A$5)</f>
        <v>3.3117320000000001</v>
      </c>
      <c r="G45" s="8">
        <f t="shared" si="21"/>
        <v>2417.5643600000003</v>
      </c>
      <c r="H45" s="1"/>
      <c r="I45" s="1"/>
      <c r="J45" s="8"/>
      <c r="K45" s="8"/>
      <c r="L45" s="8"/>
    </row>
  </sheetData>
  <conditionalFormatting sqref="E4:E22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{FF66B986-F0F4-48F4-9629-66DE43933161}</x14:id>
        </ext>
      </extLst>
    </cfRule>
  </conditionalFormatting>
  <conditionalFormatting sqref="J13:J22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{B0DF6EF2-12EC-4E1D-BA57-2D8782BC1EB1}</x14:id>
        </ext>
      </extLst>
    </cfRule>
  </conditionalFormatting>
  <conditionalFormatting sqref="J4:J1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{023FBA04-6808-4508-A77D-E00D0A6B38E8}</x14:id>
        </ext>
      </extLst>
    </cfRule>
  </conditionalFormatting>
  <conditionalFormatting sqref="E24:E33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{0A314F2D-3DA5-4037-B18D-5744A34D03E7}</x14:id>
        </ext>
      </extLst>
    </cfRule>
  </conditionalFormatting>
  <conditionalFormatting sqref="J24:J3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{DABD45B8-9BD5-4583-A873-B18F663C8B3C}</x14:id>
        </ext>
      </extLst>
    </cfRule>
  </conditionalFormatting>
  <conditionalFormatting sqref="J4:J33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{573A025F-03A2-4241-80B2-36DA2760779D}</x14:id>
        </ext>
      </extLst>
    </cfRule>
  </conditionalFormatting>
  <conditionalFormatting sqref="E4:E33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{2DB41D62-3A2C-4CF1-A40D-5FCA3298989C}</x14:id>
        </ext>
      </extLst>
    </cfRule>
  </conditionalFormatting>
  <dataValidations count="2">
    <dataValidation type="list" allowBlank="1" showInputMessage="1" showErrorMessage="1" sqref="A24" xr:uid="{CBC3D8AA-3C62-44CC-9325-BD74443D8B19}">
      <formula1>"standardssd,premiumssd"</formula1>
    </dataValidation>
    <dataValidation type="list" allowBlank="1" showInputMessage="1" showErrorMessage="1" sqref="A13" xr:uid="{4B1E9D8C-18C1-4692-9ECB-FD1FCEB66A22}">
      <formula1>"standardssd,premiumssd,ssd"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66B986-F0F4-48F4-9629-66DE439331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E4:E22</xm:sqref>
        </x14:conditionalFormatting>
        <x14:conditionalFormatting xmlns:xm="http://schemas.microsoft.com/office/excel/2006/main">
          <x14:cfRule type="dataBar" id="{B0DF6EF2-12EC-4E1D-BA57-2D8782BC1E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J13:J22</xm:sqref>
        </x14:conditionalFormatting>
        <x14:conditionalFormatting xmlns:xm="http://schemas.microsoft.com/office/excel/2006/main">
          <x14:cfRule type="dataBar" id="{023FBA04-6808-4508-A77D-E00D0A6B38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J4:J11</xm:sqref>
        </x14:conditionalFormatting>
        <x14:conditionalFormatting xmlns:xm="http://schemas.microsoft.com/office/excel/2006/main">
          <x14:cfRule type="dataBar" id="{0A314F2D-3DA5-4037-B18D-5744A34D03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E24:E33</xm:sqref>
        </x14:conditionalFormatting>
        <x14:conditionalFormatting xmlns:xm="http://schemas.microsoft.com/office/excel/2006/main">
          <x14:cfRule type="dataBar" id="{DABD45B8-9BD5-4583-A873-B18F663C8B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J24:J33</xm:sqref>
        </x14:conditionalFormatting>
        <x14:conditionalFormatting xmlns:xm="http://schemas.microsoft.com/office/excel/2006/main">
          <x14:cfRule type="dataBar" id="{573A025F-03A2-4241-80B2-36DA276077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J4:J33</xm:sqref>
        </x14:conditionalFormatting>
        <x14:conditionalFormatting xmlns:xm="http://schemas.microsoft.com/office/excel/2006/main">
          <x14:cfRule type="dataBar" id="{2DB41D62-3A2C-4CF1-A40D-5FCA329898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E4:E33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CF112-7D1E-4526-BC79-C4F559E193A7}">
  <sheetPr codeName="Sheet7"/>
  <dimension ref="A1:H43"/>
  <sheetViews>
    <sheetView tabSelected="1" workbookViewId="0">
      <selection sqref="A1:B1"/>
    </sheetView>
  </sheetViews>
  <sheetFormatPr defaultColWidth="8.7265625" defaultRowHeight="14.5"/>
  <cols>
    <col min="1" max="1" width="11.26953125" style="8" customWidth="1"/>
    <col min="2" max="2" width="176.81640625" style="8" customWidth="1"/>
    <col min="3" max="16384" width="8.7265625" style="8"/>
  </cols>
  <sheetData>
    <row r="1" spans="1:2">
      <c r="A1" s="24">
        <v>43791</v>
      </c>
      <c r="B1" s="8" t="s">
        <v>211</v>
      </c>
    </row>
    <row r="2" spans="1:2">
      <c r="A2" s="24">
        <v>43660</v>
      </c>
      <c r="B2" s="8" t="s">
        <v>205</v>
      </c>
    </row>
    <row r="3" spans="1:2">
      <c r="A3" s="24">
        <v>43642</v>
      </c>
      <c r="B3" s="8" t="s">
        <v>200</v>
      </c>
    </row>
    <row r="4" spans="1:2">
      <c r="A4" s="24"/>
      <c r="B4" s="8" t="s">
        <v>198</v>
      </c>
    </row>
    <row r="5" spans="1:2">
      <c r="A5" s="24"/>
      <c r="B5" s="8" t="s">
        <v>199</v>
      </c>
    </row>
    <row r="6" spans="1:2">
      <c r="B6" s="8" t="s">
        <v>201</v>
      </c>
    </row>
    <row r="7" spans="1:2">
      <c r="A7" s="24">
        <v>43600</v>
      </c>
      <c r="B7" s="8" t="s">
        <v>148</v>
      </c>
    </row>
    <row r="8" spans="1:2">
      <c r="B8" s="8" t="s">
        <v>147</v>
      </c>
    </row>
    <row r="9" spans="1:2">
      <c r="A9" s="24">
        <v>43599</v>
      </c>
      <c r="B9" s="8" t="s">
        <v>146</v>
      </c>
    </row>
    <row r="10" spans="1:2">
      <c r="B10" s="8" t="s">
        <v>145</v>
      </c>
    </row>
    <row r="11" spans="1:2">
      <c r="B11" s="8" t="s">
        <v>144</v>
      </c>
    </row>
    <row r="12" spans="1:2">
      <c r="A12" s="23">
        <v>43742</v>
      </c>
      <c r="B12" s="8" t="s">
        <v>143</v>
      </c>
    </row>
    <row r="13" spans="1:2">
      <c r="B13" s="8" t="s">
        <v>142</v>
      </c>
    </row>
    <row r="14" spans="1:2">
      <c r="A14" s="23"/>
      <c r="B14" s="8" t="s">
        <v>141</v>
      </c>
    </row>
    <row r="15" spans="1:2">
      <c r="A15" s="23"/>
      <c r="B15" s="8" t="s">
        <v>140</v>
      </c>
    </row>
    <row r="16" spans="1:2">
      <c r="A16" s="23"/>
      <c r="B16" s="8" t="s">
        <v>139</v>
      </c>
    </row>
    <row r="17" spans="1:2">
      <c r="A17" s="23"/>
      <c r="B17" s="8" t="s">
        <v>138</v>
      </c>
    </row>
    <row r="18" spans="1:2">
      <c r="B18" s="8" t="s">
        <v>137</v>
      </c>
    </row>
    <row r="19" spans="1:2">
      <c r="A19" s="23">
        <v>43811</v>
      </c>
      <c r="B19" s="8" t="s">
        <v>136</v>
      </c>
    </row>
    <row r="20" spans="1:2">
      <c r="A20" s="23"/>
      <c r="B20" s="8" t="s">
        <v>135</v>
      </c>
    </row>
    <row r="21" spans="1:2">
      <c r="A21" s="23"/>
      <c r="B21" s="8" t="s">
        <v>134</v>
      </c>
    </row>
    <row r="22" spans="1:2">
      <c r="A22" s="23" t="s">
        <v>133</v>
      </c>
      <c r="B22" s="8" t="s">
        <v>132</v>
      </c>
    </row>
    <row r="23" spans="1:2">
      <c r="A23" s="23"/>
      <c r="B23" s="8" t="s">
        <v>131</v>
      </c>
    </row>
    <row r="24" spans="1:2">
      <c r="A24" s="23"/>
      <c r="B24" s="8" t="s">
        <v>130</v>
      </c>
    </row>
    <row r="25" spans="1:2">
      <c r="A25" s="23" t="s">
        <v>129</v>
      </c>
      <c r="B25" s="8" t="s">
        <v>128</v>
      </c>
    </row>
    <row r="26" spans="1:2">
      <c r="A26" s="23"/>
      <c r="B26" s="8" t="s">
        <v>127</v>
      </c>
    </row>
    <row r="27" spans="1:2">
      <c r="A27" s="23">
        <v>43194</v>
      </c>
      <c r="B27" s="8" t="s">
        <v>126</v>
      </c>
    </row>
    <row r="28" spans="1:2">
      <c r="A28" s="23"/>
      <c r="B28" s="8" t="s">
        <v>125</v>
      </c>
    </row>
    <row r="29" spans="1:2">
      <c r="A29" s="23"/>
      <c r="B29" s="8" t="s">
        <v>124</v>
      </c>
    </row>
    <row r="30" spans="1:2">
      <c r="A30" s="23"/>
    </row>
    <row r="32" spans="1:2">
      <c r="A32" s="8" t="s">
        <v>123</v>
      </c>
      <c r="B32" s="8" t="str">
        <f ca="1">_xlfn.CONCAT(getSession(),RANDBETWEEN(0,0))</f>
        <v>26201221100140</v>
      </c>
    </row>
    <row r="33" spans="1:8">
      <c r="A33" s="8" t="s">
        <v>122</v>
      </c>
      <c r="B33" s="8" t="str">
        <f ca="1">_xlfn.CONCAT(getversion(),RANDBETWEEN(0,0))</f>
        <v>0.6.0.0B0</v>
      </c>
    </row>
    <row r="35" spans="1:8">
      <c r="A35" s="23"/>
    </row>
    <row r="36" spans="1:8">
      <c r="B36" s="8" t="s">
        <v>121</v>
      </c>
    </row>
    <row r="37" spans="1:8">
      <c r="B37" s="22" t="s">
        <v>120</v>
      </c>
    </row>
    <row r="38" spans="1:8">
      <c r="B38" s="8" t="s">
        <v>119</v>
      </c>
    </row>
    <row r="39" spans="1:8">
      <c r="B39" s="22" t="s">
        <v>118</v>
      </c>
    </row>
    <row r="41" spans="1:8">
      <c r="B41" s="37" t="s">
        <v>117</v>
      </c>
      <c r="C41" s="37"/>
      <c r="D41" s="37"/>
      <c r="E41" s="37"/>
      <c r="F41" s="37"/>
      <c r="G41" s="37"/>
      <c r="H41" s="37"/>
    </row>
    <row r="42" spans="1:8">
      <c r="B42" s="8" t="s">
        <v>116</v>
      </c>
    </row>
    <row r="43" spans="1:8">
      <c r="B43" s="8" t="s">
        <v>115</v>
      </c>
    </row>
  </sheetData>
  <mergeCells count="1">
    <mergeCell ref="B41:H41"/>
  </mergeCells>
  <hyperlinks>
    <hyperlink ref="B39" r:id="rId1" xr:uid="{04574999-0D71-4DB1-8427-6AF16CCDF2E1}"/>
    <hyperlink ref="B37" r:id="rId2" xr:uid="{C6F79E16-B9AB-4BD5-AF1C-B4BA64946D8D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VM List</vt:lpstr>
      <vt:lpstr>Cheat Sheet</vt:lpstr>
      <vt:lpstr>Historic Prices</vt:lpstr>
      <vt:lpstr>Managed Disks + USSDs</vt:lpstr>
      <vt:lpstr>About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 Schwarzer</cp:lastModifiedBy>
  <dcterms:created xsi:type="dcterms:W3CDTF">2018-03-27T13:39:52Z</dcterms:created>
  <dcterms:modified xsi:type="dcterms:W3CDTF">2019-11-22T13:50:59Z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