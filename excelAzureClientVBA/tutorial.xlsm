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jeschwar_microsoft_com/Documents/"/>
    </mc:Choice>
  </mc:AlternateContent>
  <xr:revisionPtr revIDLastSave="26" documentId="8_{D0B03267-3ECB-404B-A72E-B6005CDF5E8D}" xr6:coauthVersionLast="43" xr6:coauthVersionMax="43" xr10:uidLastSave="{EFDAF24E-2CCE-4C6F-9A75-C2DE603A5EC5}"/>
  <bookViews>
    <workbookView xWindow="-28920" yWindow="-120" windowWidth="29040" windowHeight="17640" xr2:uid="{76FB606E-B3FC-4DBE-A184-7C562AE0ABA7}"/>
  </bookViews>
  <sheets>
    <sheet name="Session 01" sheetId="17" r:id="rId1"/>
    <sheet name="Session 02" sheetId="14" r:id="rId2"/>
    <sheet name="Session 03" sheetId="15" r:id="rId3"/>
    <sheet name="Session 04" sheetId="16" r:id="rId4"/>
    <sheet name="About" sheetId="1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4" i="17" l="1"/>
  <c r="I44" i="17"/>
  <c r="G44" i="17"/>
  <c r="G46" i="16"/>
  <c r="E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I42" i="17"/>
  <c r="I38" i="17"/>
  <c r="I34" i="17"/>
  <c r="I30" i="17"/>
  <c r="I26" i="17"/>
  <c r="I22" i="17"/>
  <c r="I18" i="17"/>
  <c r="I14" i="17"/>
  <c r="I10" i="17"/>
  <c r="I6" i="17"/>
  <c r="I31" i="17"/>
  <c r="I19" i="17"/>
  <c r="I7" i="17"/>
  <c r="I41" i="17"/>
  <c r="I37" i="17"/>
  <c r="I33" i="17"/>
  <c r="I29" i="17"/>
  <c r="I25" i="17"/>
  <c r="I21" i="17"/>
  <c r="I17" i="17"/>
  <c r="I13" i="17"/>
  <c r="I9" i="17"/>
  <c r="I5" i="17"/>
  <c r="I35" i="17"/>
  <c r="I23" i="17"/>
  <c r="I11" i="17"/>
  <c r="I40" i="17"/>
  <c r="I36" i="17"/>
  <c r="I32" i="17"/>
  <c r="I28" i="17"/>
  <c r="I24" i="17"/>
  <c r="I20" i="17"/>
  <c r="I16" i="17"/>
  <c r="I12" i="17"/>
  <c r="I8" i="17"/>
  <c r="I4" i="17"/>
  <c r="I39" i="17"/>
  <c r="I27" i="17"/>
  <c r="I15" i="17"/>
  <c r="I3" i="17"/>
  <c r="I2" i="17"/>
  <c r="H42" i="17"/>
  <c r="H38" i="17"/>
  <c r="H34" i="17"/>
  <c r="H30" i="17"/>
  <c r="H26" i="17"/>
  <c r="H22" i="17"/>
  <c r="H18" i="17"/>
  <c r="H14" i="17"/>
  <c r="H10" i="17"/>
  <c r="H6" i="17"/>
  <c r="H31" i="17"/>
  <c r="H23" i="17"/>
  <c r="H11" i="17"/>
  <c r="H3" i="17"/>
  <c r="H41" i="17"/>
  <c r="H37" i="17"/>
  <c r="H33" i="17"/>
  <c r="H29" i="17"/>
  <c r="H25" i="17"/>
  <c r="H21" i="17"/>
  <c r="H17" i="17"/>
  <c r="H13" i="17"/>
  <c r="H9" i="17"/>
  <c r="H5" i="17"/>
  <c r="H35" i="17"/>
  <c r="H19" i="17"/>
  <c r="H7" i="17"/>
  <c r="H40" i="17"/>
  <c r="H36" i="17"/>
  <c r="H32" i="17"/>
  <c r="H28" i="17"/>
  <c r="H24" i="17"/>
  <c r="H20" i="17"/>
  <c r="H16" i="17"/>
  <c r="H12" i="17"/>
  <c r="H8" i="17"/>
  <c r="H4" i="17"/>
  <c r="H39" i="17"/>
  <c r="H27" i="17"/>
  <c r="H15" i="17"/>
  <c r="H2" i="17"/>
  <c r="G42" i="17"/>
  <c r="G38" i="17"/>
  <c r="G34" i="17"/>
  <c r="G30" i="17"/>
  <c r="G26" i="17"/>
  <c r="G22" i="17"/>
  <c r="G18" i="17"/>
  <c r="G14" i="17"/>
  <c r="G10" i="17"/>
  <c r="G6" i="17"/>
  <c r="G36" i="17"/>
  <c r="G24" i="17"/>
  <c r="G12" i="17"/>
  <c r="G4" i="17"/>
  <c r="G35" i="17"/>
  <c r="G23" i="17"/>
  <c r="G15" i="17"/>
  <c r="G7" i="17"/>
  <c r="G41" i="17"/>
  <c r="G37" i="17"/>
  <c r="G33" i="17"/>
  <c r="G29" i="17"/>
  <c r="G25" i="17"/>
  <c r="G21" i="17"/>
  <c r="G17" i="17"/>
  <c r="G13" i="17"/>
  <c r="G9" i="17"/>
  <c r="G5" i="17"/>
  <c r="G40" i="17"/>
  <c r="G32" i="17"/>
  <c r="G28" i="17"/>
  <c r="G20" i="17"/>
  <c r="G16" i="17"/>
  <c r="G8" i="17"/>
  <c r="G39" i="17"/>
  <c r="G31" i="17"/>
  <c r="G27" i="17"/>
  <c r="G19" i="17"/>
  <c r="G11" i="17"/>
  <c r="G3" i="17"/>
  <c r="G2" i="17"/>
  <c r="F42" i="17"/>
  <c r="F38" i="17"/>
  <c r="F34" i="17"/>
  <c r="F30" i="17"/>
  <c r="F26" i="17"/>
  <c r="F22" i="17"/>
  <c r="F18" i="17"/>
  <c r="F14" i="17"/>
  <c r="F10" i="17"/>
  <c r="F6" i="17"/>
  <c r="F41" i="17"/>
  <c r="F37" i="17"/>
  <c r="F33" i="17"/>
  <c r="F29" i="17"/>
  <c r="F25" i="17"/>
  <c r="F21" i="17"/>
  <c r="F17" i="17"/>
  <c r="F13" i="17"/>
  <c r="F9" i="17"/>
  <c r="F5" i="17"/>
  <c r="F40" i="17"/>
  <c r="F36" i="17"/>
  <c r="F32" i="17"/>
  <c r="F28" i="17"/>
  <c r="F24" i="17"/>
  <c r="F20" i="17"/>
  <c r="F16" i="17"/>
  <c r="F12" i="17"/>
  <c r="F8" i="17"/>
  <c r="F4" i="17"/>
  <c r="F39" i="17"/>
  <c r="F35" i="17"/>
  <c r="F31" i="17"/>
  <c r="F27" i="17"/>
  <c r="F23" i="17"/>
  <c r="F19" i="17"/>
  <c r="F15" i="17"/>
  <c r="F11" i="17"/>
  <c r="F7" i="17"/>
  <c r="F3" i="17"/>
  <c r="F2" i="17"/>
  <c r="I2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K2" i="16"/>
  <c r="L2" i="16" s="1"/>
  <c r="K3" i="16"/>
  <c r="L3" i="16" s="1"/>
  <c r="K6" i="16"/>
  <c r="L6" i="16" s="1"/>
  <c r="K7" i="16"/>
  <c r="L7" i="16" s="1"/>
  <c r="K9" i="16"/>
  <c r="L9" i="16" s="1"/>
  <c r="K11" i="16"/>
  <c r="L11" i="16" s="1"/>
  <c r="K13" i="16"/>
  <c r="L13" i="16" s="1"/>
  <c r="K15" i="16"/>
  <c r="L15" i="16" s="1"/>
  <c r="K17" i="16"/>
  <c r="L17" i="16" s="1"/>
  <c r="K19" i="16"/>
  <c r="L19" i="16" s="1"/>
  <c r="K21" i="16"/>
  <c r="L21" i="16" s="1"/>
  <c r="K22" i="16"/>
  <c r="L22" i="16" s="1"/>
  <c r="K24" i="16"/>
  <c r="L24" i="16" s="1"/>
  <c r="K26" i="16"/>
  <c r="L26" i="16" s="1"/>
  <c r="K29" i="16"/>
  <c r="L29" i="16" s="1"/>
  <c r="K30" i="16"/>
  <c r="L30" i="16" s="1"/>
  <c r="K32" i="16"/>
  <c r="K34" i="16"/>
  <c r="K36" i="16"/>
  <c r="J2" i="16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K4" i="16"/>
  <c r="L4" i="16" s="1"/>
  <c r="K5" i="16"/>
  <c r="L5" i="16" s="1"/>
  <c r="K8" i="16"/>
  <c r="L8" i="16" s="1"/>
  <c r="K10" i="16"/>
  <c r="L10" i="16" s="1"/>
  <c r="K12" i="16"/>
  <c r="L12" i="16" s="1"/>
  <c r="K14" i="16"/>
  <c r="L14" i="16" s="1"/>
  <c r="K16" i="16"/>
  <c r="L16" i="16" s="1"/>
  <c r="K18" i="16"/>
  <c r="L18" i="16" s="1"/>
  <c r="K20" i="16"/>
  <c r="L20" i="16" s="1"/>
  <c r="K23" i="16"/>
  <c r="L23" i="16" s="1"/>
  <c r="K25" i="16"/>
  <c r="L25" i="16" s="1"/>
  <c r="K27" i="16"/>
  <c r="L27" i="16" s="1"/>
  <c r="K28" i="16"/>
  <c r="L28" i="16" s="1"/>
  <c r="K31" i="16"/>
  <c r="K33" i="16"/>
  <c r="K35" i="16"/>
  <c r="L32" i="16"/>
  <c r="L34" i="16"/>
  <c r="L36" i="16"/>
  <c r="L31" i="16"/>
  <c r="L33" i="16"/>
  <c r="L35" i="16"/>
  <c r="K37" i="16"/>
  <c r="K38" i="16"/>
  <c r="K39" i="16"/>
  <c r="K40" i="16"/>
  <c r="L40" i="16" s="1"/>
  <c r="K41" i="16"/>
  <c r="L41" i="16" s="1"/>
  <c r="K42" i="16"/>
  <c r="L37" i="16"/>
  <c r="L38" i="16"/>
  <c r="L39" i="16"/>
  <c r="L42" i="16"/>
  <c r="M27" i="16"/>
  <c r="N27" i="16"/>
  <c r="O27" i="16"/>
  <c r="M2" i="16"/>
  <c r="N2" i="16"/>
  <c r="O2" i="16"/>
  <c r="M3" i="16"/>
  <c r="N3" i="16"/>
  <c r="O3" i="16"/>
  <c r="M4" i="16"/>
  <c r="N4" i="16"/>
  <c r="O4" i="16"/>
  <c r="M5" i="16"/>
  <c r="N5" i="16"/>
  <c r="O5" i="16"/>
  <c r="M6" i="16"/>
  <c r="N6" i="16"/>
  <c r="O6" i="16"/>
  <c r="M7" i="16"/>
  <c r="N7" i="16"/>
  <c r="O7" i="16"/>
  <c r="M8" i="16"/>
  <c r="N8" i="16"/>
  <c r="O8" i="16"/>
  <c r="M9" i="16"/>
  <c r="N9" i="16"/>
  <c r="O9" i="16"/>
  <c r="M10" i="16"/>
  <c r="N10" i="16"/>
  <c r="O10" i="16"/>
  <c r="M11" i="16"/>
  <c r="N11" i="16"/>
  <c r="O11" i="16"/>
  <c r="M12" i="16"/>
  <c r="N12" i="16"/>
  <c r="O12" i="16"/>
  <c r="M13" i="16"/>
  <c r="N13" i="16"/>
  <c r="O13" i="16"/>
  <c r="M14" i="16"/>
  <c r="N14" i="16"/>
  <c r="O14" i="16"/>
  <c r="M15" i="16"/>
  <c r="N15" i="16"/>
  <c r="O15" i="16"/>
  <c r="M16" i="16"/>
  <c r="N16" i="16"/>
  <c r="O16" i="16"/>
  <c r="M17" i="16"/>
  <c r="N17" i="16"/>
  <c r="O17" i="16"/>
  <c r="M18" i="16"/>
  <c r="N18" i="16"/>
  <c r="O18" i="16"/>
  <c r="M19" i="16"/>
  <c r="N19" i="16"/>
  <c r="O19" i="16"/>
  <c r="M20" i="16"/>
  <c r="N20" i="16"/>
  <c r="O20" i="16"/>
  <c r="M21" i="16"/>
  <c r="N21" i="16"/>
  <c r="O21" i="16"/>
  <c r="M22" i="16"/>
  <c r="N22" i="16"/>
  <c r="O22" i="16"/>
  <c r="M23" i="16"/>
  <c r="N23" i="16"/>
  <c r="O23" i="16"/>
  <c r="M24" i="16"/>
  <c r="N24" i="16"/>
  <c r="O24" i="16"/>
  <c r="M25" i="16"/>
  <c r="N25" i="16"/>
  <c r="O25" i="16"/>
  <c r="M26" i="16"/>
  <c r="N26" i="16"/>
  <c r="O26" i="16"/>
  <c r="M28" i="16"/>
  <c r="N28" i="16"/>
  <c r="O28" i="16"/>
  <c r="M29" i="16"/>
  <c r="N29" i="16"/>
  <c r="O29" i="16"/>
  <c r="M30" i="16"/>
  <c r="N30" i="16"/>
  <c r="O30" i="16"/>
  <c r="M31" i="16"/>
  <c r="N31" i="16"/>
  <c r="O31" i="16"/>
  <c r="M32" i="16"/>
  <c r="N32" i="16"/>
  <c r="O32" i="16"/>
  <c r="M33" i="16"/>
  <c r="N33" i="16"/>
  <c r="O33" i="16"/>
  <c r="M34" i="16"/>
  <c r="N34" i="16"/>
  <c r="O34" i="16"/>
  <c r="M35" i="16"/>
  <c r="N35" i="16"/>
  <c r="O35" i="16"/>
  <c r="M36" i="16"/>
  <c r="N36" i="16"/>
  <c r="O36" i="16"/>
  <c r="M37" i="16"/>
  <c r="N37" i="16"/>
  <c r="O37" i="16"/>
  <c r="M38" i="16"/>
  <c r="N38" i="16"/>
  <c r="O38" i="16"/>
  <c r="M39" i="16"/>
  <c r="N39" i="16"/>
  <c r="O39" i="16"/>
  <c r="M40" i="16"/>
  <c r="N40" i="16"/>
  <c r="O40" i="16"/>
  <c r="M41" i="16"/>
  <c r="N41" i="16"/>
  <c r="O41" i="16"/>
  <c r="M42" i="16"/>
  <c r="N42" i="16"/>
  <c r="O42" i="16"/>
  <c r="P7" i="16" l="1"/>
  <c r="P15" i="16"/>
  <c r="P23" i="16"/>
  <c r="P31" i="16"/>
  <c r="P39" i="16"/>
  <c r="P8" i="16"/>
  <c r="P16" i="16"/>
  <c r="P24" i="16"/>
  <c r="P32" i="16"/>
  <c r="P40" i="16"/>
  <c r="P5" i="16"/>
  <c r="P9" i="16"/>
  <c r="P13" i="16"/>
  <c r="P17" i="16"/>
  <c r="P21" i="16"/>
  <c r="P25" i="16"/>
  <c r="P29" i="16"/>
  <c r="P33" i="16"/>
  <c r="P37" i="16"/>
  <c r="P41" i="16"/>
  <c r="P3" i="16"/>
  <c r="P11" i="16"/>
  <c r="P19" i="16"/>
  <c r="P27" i="16"/>
  <c r="P35" i="16"/>
  <c r="P4" i="16"/>
  <c r="P12" i="16"/>
  <c r="P20" i="16"/>
  <c r="P28" i="16"/>
  <c r="P36" i="16"/>
  <c r="P6" i="16"/>
  <c r="P10" i="16"/>
  <c r="P14" i="16"/>
  <c r="P18" i="16"/>
  <c r="P22" i="16"/>
  <c r="P26" i="16"/>
  <c r="P30" i="16"/>
  <c r="P34" i="16"/>
  <c r="P38" i="16"/>
  <c r="P42" i="16"/>
  <c r="O46" i="16"/>
  <c r="P46" i="16" s="1"/>
  <c r="P2" i="16"/>
  <c r="E2" i="15" l="1"/>
  <c r="I2" i="15"/>
  <c r="J2" i="15"/>
  <c r="K2" i="15"/>
  <c r="L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K4" i="15"/>
  <c r="I6" i="15"/>
  <c r="K8" i="15"/>
  <c r="I10" i="15"/>
  <c r="K12" i="15"/>
  <c r="I14" i="15"/>
  <c r="K16" i="15"/>
  <c r="I18" i="15"/>
  <c r="K20" i="15"/>
  <c r="I22" i="15"/>
  <c r="K24" i="15"/>
  <c r="I26" i="15"/>
  <c r="K28" i="15"/>
  <c r="I30" i="15"/>
  <c r="K32" i="15"/>
  <c r="I34" i="15"/>
  <c r="K36" i="15"/>
  <c r="I38" i="15"/>
  <c r="K40" i="15"/>
  <c r="I42" i="15"/>
  <c r="I3" i="15"/>
  <c r="L4" i="15"/>
  <c r="K5" i="15"/>
  <c r="J6" i="15"/>
  <c r="I7" i="15"/>
  <c r="L8" i="15"/>
  <c r="K9" i="15"/>
  <c r="J10" i="15"/>
  <c r="I11" i="15"/>
  <c r="L12" i="15"/>
  <c r="K13" i="15"/>
  <c r="J14" i="15"/>
  <c r="I15" i="15"/>
  <c r="L16" i="15"/>
  <c r="K17" i="15"/>
  <c r="J18" i="15"/>
  <c r="I19" i="15"/>
  <c r="L20" i="15"/>
  <c r="K21" i="15"/>
  <c r="J22" i="15"/>
  <c r="I23" i="15"/>
  <c r="L24" i="15"/>
  <c r="K25" i="15"/>
  <c r="J26" i="15"/>
  <c r="I27" i="15"/>
  <c r="L28" i="15"/>
  <c r="K29" i="15"/>
  <c r="J30" i="15"/>
  <c r="I31" i="15"/>
  <c r="L32" i="15"/>
  <c r="K33" i="15"/>
  <c r="J34" i="15"/>
  <c r="I35" i="15"/>
  <c r="L36" i="15"/>
  <c r="K37" i="15"/>
  <c r="J38" i="15"/>
  <c r="I39" i="15"/>
  <c r="L40" i="15"/>
  <c r="K41" i="15"/>
  <c r="J42" i="15"/>
  <c r="J3" i="15"/>
  <c r="I4" i="15"/>
  <c r="L5" i="15"/>
  <c r="K6" i="15"/>
  <c r="J7" i="15"/>
  <c r="I8" i="15"/>
  <c r="L9" i="15"/>
  <c r="K10" i="15"/>
  <c r="J11" i="15"/>
  <c r="I12" i="15"/>
  <c r="L13" i="15"/>
  <c r="K14" i="15"/>
  <c r="J15" i="15"/>
  <c r="I16" i="15"/>
  <c r="L17" i="15"/>
  <c r="K18" i="15"/>
  <c r="J19" i="15"/>
  <c r="I20" i="15"/>
  <c r="L21" i="15"/>
  <c r="K22" i="15"/>
  <c r="J23" i="15"/>
  <c r="I24" i="15"/>
  <c r="L25" i="15"/>
  <c r="K26" i="15"/>
  <c r="J27" i="15"/>
  <c r="I28" i="15"/>
  <c r="L29" i="15"/>
  <c r="K30" i="15"/>
  <c r="J31" i="15"/>
  <c r="I32" i="15"/>
  <c r="L33" i="15"/>
  <c r="K34" i="15"/>
  <c r="J35" i="15"/>
  <c r="I36" i="15"/>
  <c r="L37" i="15"/>
  <c r="K38" i="15"/>
  <c r="J39" i="15"/>
  <c r="I40" i="15"/>
  <c r="L41" i="15"/>
  <c r="K42" i="15"/>
  <c r="K3" i="15"/>
  <c r="L3" i="15" s="1"/>
  <c r="J4" i="15"/>
  <c r="I5" i="15"/>
  <c r="J5" i="15" s="1"/>
  <c r="L6" i="15"/>
  <c r="K7" i="15"/>
  <c r="L7" i="15" s="1"/>
  <c r="J8" i="15"/>
  <c r="I9" i="15"/>
  <c r="J9" i="15" s="1"/>
  <c r="L10" i="15"/>
  <c r="K11" i="15"/>
  <c r="L11" i="15" s="1"/>
  <c r="J12" i="15"/>
  <c r="I13" i="15"/>
  <c r="J13" i="15" s="1"/>
  <c r="L14" i="15"/>
  <c r="K15" i="15"/>
  <c r="L15" i="15" s="1"/>
  <c r="J16" i="15"/>
  <c r="I17" i="15"/>
  <c r="J17" i="15" s="1"/>
  <c r="L18" i="15"/>
  <c r="K19" i="15"/>
  <c r="L19" i="15" s="1"/>
  <c r="J20" i="15"/>
  <c r="I21" i="15"/>
  <c r="J21" i="15" s="1"/>
  <c r="L22" i="15"/>
  <c r="K23" i="15"/>
  <c r="L23" i="15" s="1"/>
  <c r="J24" i="15"/>
  <c r="I25" i="15"/>
  <c r="J25" i="15" s="1"/>
  <c r="L26" i="15"/>
  <c r="K27" i="15"/>
  <c r="L27" i="15" s="1"/>
  <c r="J28" i="15"/>
  <c r="I29" i="15"/>
  <c r="J29" i="15" s="1"/>
  <c r="L30" i="15"/>
  <c r="K31" i="15"/>
  <c r="L31" i="15" s="1"/>
  <c r="J32" i="15"/>
  <c r="I33" i="15"/>
  <c r="J33" i="15" s="1"/>
  <c r="L34" i="15"/>
  <c r="K35" i="15"/>
  <c r="L35" i="15" s="1"/>
  <c r="J36" i="15"/>
  <c r="I37" i="15"/>
  <c r="J37" i="15" s="1"/>
  <c r="L38" i="15"/>
  <c r="K39" i="15"/>
  <c r="L39" i="15" s="1"/>
  <c r="J40" i="15"/>
  <c r="I41" i="15"/>
  <c r="J41" i="15" s="1"/>
  <c r="L42" i="15"/>
  <c r="L44" i="15" l="1"/>
  <c r="J44" i="15"/>
  <c r="O44" i="15" s="1"/>
  <c r="H2" i="14" l="1"/>
  <c r="I2" i="14"/>
  <c r="J2" i="14"/>
  <c r="K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I32" i="14"/>
  <c r="I34" i="14"/>
  <c r="I36" i="14"/>
  <c r="I38" i="14"/>
  <c r="I39" i="14"/>
  <c r="I41" i="14"/>
  <c r="I42" i="14"/>
  <c r="I3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3" i="14"/>
  <c r="I35" i="14"/>
  <c r="I37" i="14"/>
  <c r="I40" i="14"/>
  <c r="J3" i="14"/>
  <c r="K3" i="14" s="1"/>
  <c r="J4" i="14"/>
  <c r="K4" i="14" s="1"/>
  <c r="J5" i="14"/>
  <c r="J6" i="14"/>
  <c r="K6" i="14" s="1"/>
  <c r="J7" i="14"/>
  <c r="K7" i="14" s="1"/>
  <c r="J8" i="14"/>
  <c r="K8" i="14" s="1"/>
  <c r="J9" i="14"/>
  <c r="J10" i="14"/>
  <c r="K10" i="14" s="1"/>
  <c r="J11" i="14"/>
  <c r="K11" i="14" s="1"/>
  <c r="J12" i="14"/>
  <c r="J13" i="14"/>
  <c r="K13" i="14" s="1"/>
  <c r="J14" i="14"/>
  <c r="K14" i="14" s="1"/>
  <c r="J15" i="14"/>
  <c r="J16" i="14"/>
  <c r="K16" i="14" s="1"/>
  <c r="J17" i="14"/>
  <c r="K17" i="14" s="1"/>
  <c r="J18" i="14"/>
  <c r="J19" i="14"/>
  <c r="K19" i="14" s="1"/>
  <c r="J20" i="14"/>
  <c r="K20" i="14" s="1"/>
  <c r="J21" i="14"/>
  <c r="J22" i="14"/>
  <c r="K22" i="14" s="1"/>
  <c r="J23" i="14"/>
  <c r="K23" i="14" s="1"/>
  <c r="J24" i="14"/>
  <c r="K24" i="14" s="1"/>
  <c r="J25" i="14"/>
  <c r="J26" i="14"/>
  <c r="K26" i="14" s="1"/>
  <c r="J27" i="14"/>
  <c r="K27" i="14" s="1"/>
  <c r="J28" i="14"/>
  <c r="J29" i="14"/>
  <c r="K29" i="14" s="1"/>
  <c r="J30" i="14"/>
  <c r="K30" i="14" s="1"/>
  <c r="J31" i="14"/>
  <c r="K31" i="14" s="1"/>
  <c r="J32" i="14"/>
  <c r="K32" i="14" s="1"/>
  <c r="J33" i="14"/>
  <c r="J34" i="14"/>
  <c r="K34" i="14" s="1"/>
  <c r="J35" i="14"/>
  <c r="K35" i="14" s="1"/>
  <c r="J36" i="14"/>
  <c r="K36" i="14" s="1"/>
  <c r="J37" i="14"/>
  <c r="J38" i="14"/>
  <c r="K38" i="14" s="1"/>
  <c r="J39" i="14"/>
  <c r="K39" i="14" s="1"/>
  <c r="J40" i="14"/>
  <c r="J41" i="14"/>
  <c r="K41" i="14" s="1"/>
  <c r="J42" i="14"/>
  <c r="K42" i="14" s="1"/>
  <c r="K5" i="14"/>
  <c r="K9" i="14"/>
  <c r="K12" i="14"/>
  <c r="K15" i="14"/>
  <c r="K18" i="14"/>
  <c r="K21" i="14"/>
  <c r="K25" i="14"/>
  <c r="K28" i="14"/>
  <c r="K33" i="14"/>
  <c r="K37" i="14"/>
  <c r="K40" i="14"/>
  <c r="B28" i="12"/>
  <c r="B27" i="12"/>
  <c r="K44" i="14" l="1"/>
  <c r="I44" i="14"/>
  <c r="N44" i="14" s="1"/>
</calcChain>
</file>

<file path=xl/sharedStrings.xml><?xml version="1.0" encoding="utf-8"?>
<sst xmlns="http://schemas.openxmlformats.org/spreadsheetml/2006/main" count="442" uniqueCount="106">
  <si>
    <t>europe-west</t>
  </si>
  <si>
    <t>Currency</t>
  </si>
  <si>
    <t>Cores</t>
  </si>
  <si>
    <t>Region</t>
  </si>
  <si>
    <t>RI</t>
  </si>
  <si>
    <t>usd</t>
  </si>
  <si>
    <t>Price / Month</t>
  </si>
  <si>
    <t>us-west-2</t>
  </si>
  <si>
    <t>This tool can produce incorrect pricing, and does not ensure that product, service and or discount combinations are valid, and that all products required to use a particular service.</t>
  </si>
  <si>
    <t>Fixed include keyword search not working with multiple keywords</t>
  </si>
  <si>
    <t>Added support for identifying preview products and doubling their prices</t>
  </si>
  <si>
    <t>Added support for excluding preview products from searches</t>
  </si>
  <si>
    <t>Version 0.1</t>
  </si>
  <si>
    <t>Version 0.4</t>
  </si>
  <si>
    <t>Version 0.5</t>
  </si>
  <si>
    <t>Initial Release support for VM quoting</t>
  </si>
  <si>
    <t>Added Support for Azure CLI style region parameters</t>
  </si>
  <si>
    <t>Version 0.2</t>
  </si>
  <si>
    <t>Added support for managed disks</t>
  </si>
  <si>
    <t>Added support for reserved instance quotes</t>
  </si>
  <si>
    <t>Version 0.3</t>
  </si>
  <si>
    <t>Support for extracting specs on VMs</t>
  </si>
  <si>
    <t>Support for extracting specs on managed disks</t>
  </si>
  <si>
    <t>Added Support for Historic Data for VMs</t>
  </si>
  <si>
    <t>Added Support for Historic Data for Managed Disks</t>
  </si>
  <si>
    <t>15/5/2018</t>
  </si>
  <si>
    <t>25/6/2018</t>
  </si>
  <si>
    <t>Session ID</t>
  </si>
  <si>
    <t>Version</t>
  </si>
  <si>
    <t>Added analytics support</t>
  </si>
  <si>
    <t>Fixed support for redlining preview and promo VM's</t>
  </si>
  <si>
    <t>Star the project on Github</t>
  </si>
  <si>
    <t xml:space="preserve">https://github.com/KillerFeature/excelAzure </t>
  </si>
  <si>
    <t>Always download the latest version at :</t>
  </si>
  <si>
    <t>http://aka.ms/excelazure</t>
  </si>
  <si>
    <t>Use this tool on your own risk. All prices are indicative only. This tool produces summary estimates, not pricequotes. Data is based on the Azure Calculator  https://azure.microsoft.com/pricing/calculator/</t>
  </si>
  <si>
    <t>Total</t>
  </si>
  <si>
    <t>California</t>
  </si>
  <si>
    <t>CA9210015</t>
  </si>
  <si>
    <t>CA9210014</t>
  </si>
  <si>
    <t>CA9210013</t>
  </si>
  <si>
    <t>CA9210012</t>
  </si>
  <si>
    <t>CA9210011</t>
  </si>
  <si>
    <t>CA9210010</t>
  </si>
  <si>
    <t>CA9210009</t>
  </si>
  <si>
    <t>CA9210008</t>
  </si>
  <si>
    <t>CA9210007</t>
  </si>
  <si>
    <t>CA9210006</t>
  </si>
  <si>
    <t>CA9210005</t>
  </si>
  <si>
    <t>CA9210004</t>
  </si>
  <si>
    <t>CA9210003</t>
  </si>
  <si>
    <t>CA9210002</t>
  </si>
  <si>
    <t>CA9210001</t>
  </si>
  <si>
    <t>Frankfurt</t>
  </si>
  <si>
    <t>FR0110026</t>
  </si>
  <si>
    <t>FR0110025</t>
  </si>
  <si>
    <t>FR0110024</t>
  </si>
  <si>
    <t>FR0110023</t>
  </si>
  <si>
    <t>FR0110022</t>
  </si>
  <si>
    <t>FR0110021</t>
  </si>
  <si>
    <t>FR0110020</t>
  </si>
  <si>
    <t>FR0110019</t>
  </si>
  <si>
    <t>FR0110018</t>
  </si>
  <si>
    <t>FR0110017</t>
  </si>
  <si>
    <t>FR0110016</t>
  </si>
  <si>
    <t>FR0110015</t>
  </si>
  <si>
    <t>FR0110014</t>
  </si>
  <si>
    <t>FR0110013</t>
  </si>
  <si>
    <t>Hours/month</t>
  </si>
  <si>
    <t>FR0110012</t>
  </si>
  <si>
    <t>FR0110011</t>
  </si>
  <si>
    <t>FR0110010</t>
  </si>
  <si>
    <t>FR0110009</t>
  </si>
  <si>
    <t>FR0110008</t>
  </si>
  <si>
    <t>FR0110007</t>
  </si>
  <si>
    <t>FR0110006</t>
  </si>
  <si>
    <t>FR0110005</t>
  </si>
  <si>
    <t>FR0110004</t>
  </si>
  <si>
    <t>FR0110003</t>
  </si>
  <si>
    <t>FR0110002</t>
  </si>
  <si>
    <t>FR0110001</t>
  </si>
  <si>
    <t>Disk Price/month</t>
  </si>
  <si>
    <t>Azure Disk</t>
  </si>
  <si>
    <t>VM Price/Month</t>
  </si>
  <si>
    <t>Azure Vm</t>
  </si>
  <si>
    <t>Storage (GB)</t>
  </si>
  <si>
    <t>Memory GB</t>
  </si>
  <si>
    <t>vCores</t>
  </si>
  <si>
    <t>Location</t>
  </si>
  <si>
    <t>VM Name</t>
  </si>
  <si>
    <t>standardssd</t>
  </si>
  <si>
    <t>Disk Include</t>
  </si>
  <si>
    <t>windows</t>
  </si>
  <si>
    <t>Include VM</t>
  </si>
  <si>
    <t>-b</t>
  </si>
  <si>
    <t>Exclude VM</t>
  </si>
  <si>
    <t>California Region</t>
  </si>
  <si>
    <t>Frankfurt Region</t>
  </si>
  <si>
    <t>Azure Region</t>
  </si>
  <si>
    <t>isVCPU</t>
  </si>
  <si>
    <t>Total Existing Memory</t>
  </si>
  <si>
    <t>Azure VM Memory</t>
  </si>
  <si>
    <t>Total Azure VM  Memory</t>
  </si>
  <si>
    <t>Difference</t>
  </si>
  <si>
    <t>Azure VM</t>
  </si>
  <si>
    <t>Azure Disk Price/month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</si>
</sst>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kr.&quot;_-;\-* #,##0.00\ &quot;kr.&quot;_-;_-* &quot;-&quot;??\ &quot;kr.&quot;_-;_-@_-"/>
    <numFmt numFmtId="169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14" fontId="0" fillId="0" borderId="0" xfId="0" applyNumberFormat="1" applyAlignment="1">
      <alignment horizontal="right"/>
    </xf>
    <xf numFmtId="0" fontId="5" fillId="0" borderId="0" xfId="4"/>
    <xf numFmtId="0" fontId="6" fillId="0" borderId="0" xfId="0" applyFont="1"/>
    <xf numFmtId="0" fontId="0" fillId="0" borderId="0" xfId="0"/>
    <xf numFmtId="0" fontId="0" fillId="0" borderId="0" xfId="0"/>
    <xf numFmtId="169" fontId="2" fillId="0" borderId="0" xfId="0" applyNumberFormat="1" applyFont="1"/>
    <xf numFmtId="169" fontId="0" fillId="0" borderId="0" xfId="0" applyNumberFormat="1"/>
    <xf numFmtId="169" fontId="1" fillId="0" borderId="0" xfId="0" applyNumberFormat="1" applyFont="1"/>
    <xf numFmtId="169" fontId="1" fillId="0" borderId="0" xfId="2" applyNumberFormat="1" applyFont="1"/>
    <xf numFmtId="0" fontId="7" fillId="2" borderId="0" xfId="5"/>
    <xf numFmtId="9" fontId="0" fillId="0" borderId="0" xfId="0" applyNumberFormat="1"/>
    <xf numFmtId="9" fontId="0" fillId="0" borderId="0" xfId="1" applyFont="1"/>
  </cellXfs>
  <cellStyles count="6">
    <cellStyle name="Accent1" xfId="5" builtinId="29"/>
    <cellStyle name="Currency 2" xfId="2" xr:uid="{7182C05B-BAC7-43C7-BDC0-3A744412016E}"/>
    <cellStyle name="Hyperlink" xfId="4" builtinId="8"/>
    <cellStyle name="Normal" xfId="0" builtinId="0"/>
    <cellStyle name="Normal 2" xfId="3" xr:uid="{AE35D697-8C93-4C55-8200-1C5B874E1A3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aka.ms/excelazure" TargetMode="External"/><Relationship Id="rId1" Type="http://schemas.openxmlformats.org/officeDocument/2006/relationships/hyperlink" Target="https://github.com/KillerFeature/excelAzur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8955-6C36-4F1E-BEB9-D3D32885F7A6}">
  <sheetPr codeName="Sheet4"/>
  <dimension ref="A1:L44"/>
  <sheetViews>
    <sheetView tabSelected="1" workbookViewId="0">
      <selection activeCell="D48" sqref="D48"/>
    </sheetView>
  </sheetViews>
  <sheetFormatPr defaultRowHeight="14.5" x14ac:dyDescent="0.35"/>
  <cols>
    <col min="1" max="1" width="12.81640625" style="7" customWidth="1"/>
    <col min="2" max="2" width="11.81640625" style="7" customWidth="1"/>
    <col min="3" max="3" width="8.7265625" style="7"/>
    <col min="4" max="4" width="13.1796875" style="7" customWidth="1"/>
    <col min="5" max="5" width="15.26953125" style="7" customWidth="1"/>
    <col min="6" max="6" width="19.453125" style="7" bestFit="1" customWidth="1"/>
    <col min="7" max="7" width="12.54296875" style="7" bestFit="1" customWidth="1"/>
    <col min="8" max="8" width="15.08984375" style="7" bestFit="1" customWidth="1"/>
    <col min="9" max="9" width="21.26953125" style="7" bestFit="1" customWidth="1"/>
    <col min="10" max="11" width="8.7265625" style="7"/>
    <col min="12" max="12" width="10.90625" style="7" bestFit="1" customWidth="1"/>
    <col min="13" max="16384" width="8.7265625" style="7"/>
  </cols>
  <sheetData>
    <row r="1" spans="1:9" x14ac:dyDescent="0.35">
      <c r="A1" s="13" t="s">
        <v>89</v>
      </c>
      <c r="B1" s="13" t="s">
        <v>88</v>
      </c>
      <c r="C1" s="13" t="s">
        <v>87</v>
      </c>
      <c r="D1" s="13" t="s">
        <v>86</v>
      </c>
      <c r="E1" s="13" t="s">
        <v>85</v>
      </c>
      <c r="F1" s="13" t="s">
        <v>104</v>
      </c>
      <c r="G1" s="13" t="s">
        <v>6</v>
      </c>
      <c r="H1" s="13" t="s">
        <v>82</v>
      </c>
      <c r="I1" s="13" t="s">
        <v>105</v>
      </c>
    </row>
    <row r="2" spans="1:9" x14ac:dyDescent="0.35">
      <c r="A2" s="7" t="s">
        <v>80</v>
      </c>
      <c r="B2" s="7" t="s">
        <v>53</v>
      </c>
      <c r="C2" s="7">
        <v>2</v>
      </c>
      <c r="D2" s="7">
        <v>2</v>
      </c>
      <c r="E2" s="7">
        <v>32</v>
      </c>
      <c r="F2" s="1" t="str">
        <f>getVM(C2,D2,0,"europe-west","usd")</f>
        <v>linux-b2s-standard</v>
      </c>
      <c r="G2" s="12">
        <f>getVMPriceHour(F2,0,"europe-west","usd")*730</f>
        <v>35.04</v>
      </c>
      <c r="H2" s="1" t="str">
        <f>getManagedDisk(E2,"europe-west","usd")</f>
        <v>standardhdd-s4</v>
      </c>
      <c r="I2" s="1">
        <f>getManagedDiskPriceMonth(H2,"europe-west","usd")</f>
        <v>1.536</v>
      </c>
    </row>
    <row r="3" spans="1:9" x14ac:dyDescent="0.35">
      <c r="A3" s="7" t="s">
        <v>79</v>
      </c>
      <c r="B3" s="7" t="s">
        <v>53</v>
      </c>
      <c r="C3" s="7">
        <v>2</v>
      </c>
      <c r="D3" s="7">
        <v>4</v>
      </c>
      <c r="E3" s="7">
        <v>64</v>
      </c>
      <c r="F3" s="1" t="str">
        <f t="shared" ref="F3:F42" si="0">getVM(C3,D3,0,"europe-west","usd")</f>
        <v>linux-b2s-standard</v>
      </c>
      <c r="G3" s="12">
        <f t="shared" ref="G3:G42" si="1">getVMPriceHour(F3,0,"europe-west","usd")*730</f>
        <v>35.04</v>
      </c>
      <c r="H3" s="1" t="str">
        <f t="shared" ref="H3:H42" si="2">getManagedDisk(E3,"europe-west","usd")</f>
        <v>standardhdd-s6</v>
      </c>
      <c r="I3" s="1">
        <f t="shared" ref="I3:I42" si="3">getManagedDiskPriceMonth(H3,"europe-west","usd")</f>
        <v>3.008</v>
      </c>
    </row>
    <row r="4" spans="1:9" x14ac:dyDescent="0.35">
      <c r="A4" s="7" t="s">
        <v>78</v>
      </c>
      <c r="B4" s="7" t="s">
        <v>53</v>
      </c>
      <c r="C4" s="7">
        <v>2</v>
      </c>
      <c r="D4" s="7">
        <v>4</v>
      </c>
      <c r="E4" s="7">
        <v>256</v>
      </c>
      <c r="F4" s="1" t="str">
        <f t="shared" si="0"/>
        <v>linux-b2s-standard</v>
      </c>
      <c r="G4" s="12">
        <f t="shared" si="1"/>
        <v>35.04</v>
      </c>
      <c r="H4" s="1" t="str">
        <f t="shared" si="2"/>
        <v>standardhdd-s15</v>
      </c>
      <c r="I4" s="1">
        <f t="shared" si="3"/>
        <v>11.327999999999999</v>
      </c>
    </row>
    <row r="5" spans="1:9" x14ac:dyDescent="0.35">
      <c r="A5" s="7" t="s">
        <v>77</v>
      </c>
      <c r="B5" s="7" t="s">
        <v>53</v>
      </c>
      <c r="C5" s="7">
        <v>2</v>
      </c>
      <c r="D5" s="7">
        <v>6</v>
      </c>
      <c r="E5" s="7">
        <v>256</v>
      </c>
      <c r="F5" s="1" t="str">
        <f t="shared" si="0"/>
        <v>linux-b2ms-standard</v>
      </c>
      <c r="G5" s="12">
        <f t="shared" si="1"/>
        <v>70.08</v>
      </c>
      <c r="H5" s="1" t="str">
        <f t="shared" si="2"/>
        <v>standardhdd-s15</v>
      </c>
      <c r="I5" s="1">
        <f t="shared" si="3"/>
        <v>11.327999999999999</v>
      </c>
    </row>
    <row r="6" spans="1:9" x14ac:dyDescent="0.35">
      <c r="A6" s="7" t="s">
        <v>76</v>
      </c>
      <c r="B6" s="7" t="s">
        <v>53</v>
      </c>
      <c r="C6" s="7">
        <v>4</v>
      </c>
      <c r="D6" s="7">
        <v>6</v>
      </c>
      <c r="E6" s="7">
        <v>128</v>
      </c>
      <c r="F6" s="1" t="str">
        <f t="shared" si="0"/>
        <v>linux-a4v2-standard</v>
      </c>
      <c r="G6" s="12">
        <f t="shared" si="1"/>
        <v>133.59</v>
      </c>
      <c r="H6" s="1" t="str">
        <f t="shared" si="2"/>
        <v>standardhdd-s10</v>
      </c>
      <c r="I6" s="1">
        <f t="shared" si="3"/>
        <v>5.8879999999999999</v>
      </c>
    </row>
    <row r="7" spans="1:9" x14ac:dyDescent="0.35">
      <c r="A7" s="7" t="s">
        <v>75</v>
      </c>
      <c r="B7" s="7" t="s">
        <v>53</v>
      </c>
      <c r="C7" s="7">
        <v>4</v>
      </c>
      <c r="D7" s="7">
        <v>8</v>
      </c>
      <c r="E7" s="7">
        <v>64</v>
      </c>
      <c r="F7" s="1" t="str">
        <f t="shared" si="0"/>
        <v>linux-a4v2-standard</v>
      </c>
      <c r="G7" s="12">
        <f t="shared" si="1"/>
        <v>133.59</v>
      </c>
      <c r="H7" s="1" t="str">
        <f t="shared" si="2"/>
        <v>standardhdd-s6</v>
      </c>
      <c r="I7" s="1">
        <f t="shared" si="3"/>
        <v>3.008</v>
      </c>
    </row>
    <row r="8" spans="1:9" x14ac:dyDescent="0.35">
      <c r="A8" s="7" t="s">
        <v>74</v>
      </c>
      <c r="B8" s="7" t="s">
        <v>53</v>
      </c>
      <c r="C8" s="7">
        <v>4</v>
      </c>
      <c r="D8" s="7">
        <v>8</v>
      </c>
      <c r="E8" s="7">
        <v>128</v>
      </c>
      <c r="F8" s="1" t="str">
        <f t="shared" si="0"/>
        <v>linux-a4v2-standard</v>
      </c>
      <c r="G8" s="12">
        <f t="shared" si="1"/>
        <v>133.59</v>
      </c>
      <c r="H8" s="1" t="str">
        <f t="shared" si="2"/>
        <v>standardhdd-s10</v>
      </c>
      <c r="I8" s="1">
        <f t="shared" si="3"/>
        <v>5.8879999999999999</v>
      </c>
    </row>
    <row r="9" spans="1:9" x14ac:dyDescent="0.35">
      <c r="A9" s="7" t="s">
        <v>73</v>
      </c>
      <c r="B9" s="7" t="s">
        <v>53</v>
      </c>
      <c r="C9" s="7">
        <v>4</v>
      </c>
      <c r="D9" s="7">
        <v>16</v>
      </c>
      <c r="E9" s="7">
        <v>128</v>
      </c>
      <c r="F9" s="1" t="str">
        <f t="shared" si="0"/>
        <v>linux-b4ms-standard</v>
      </c>
      <c r="G9" s="12">
        <f t="shared" si="1"/>
        <v>140.16</v>
      </c>
      <c r="H9" s="1" t="str">
        <f t="shared" si="2"/>
        <v>standardhdd-s10</v>
      </c>
      <c r="I9" s="1">
        <f t="shared" si="3"/>
        <v>5.8879999999999999</v>
      </c>
    </row>
    <row r="10" spans="1:9" x14ac:dyDescent="0.35">
      <c r="A10" s="7" t="s">
        <v>72</v>
      </c>
      <c r="B10" s="7" t="s">
        <v>53</v>
      </c>
      <c r="C10" s="7">
        <v>4</v>
      </c>
      <c r="D10" s="7">
        <v>16</v>
      </c>
      <c r="E10" s="7">
        <v>256</v>
      </c>
      <c r="F10" s="1" t="str">
        <f t="shared" si="0"/>
        <v>linux-b4ms-standard</v>
      </c>
      <c r="G10" s="12">
        <f t="shared" si="1"/>
        <v>140.16</v>
      </c>
      <c r="H10" s="1" t="str">
        <f t="shared" si="2"/>
        <v>standardhdd-s15</v>
      </c>
      <c r="I10" s="1">
        <f t="shared" si="3"/>
        <v>11.327999999999999</v>
      </c>
    </row>
    <row r="11" spans="1:9" x14ac:dyDescent="0.35">
      <c r="A11" s="7" t="s">
        <v>71</v>
      </c>
      <c r="B11" s="7" t="s">
        <v>53</v>
      </c>
      <c r="C11" s="7">
        <v>4</v>
      </c>
      <c r="D11" s="7">
        <v>16</v>
      </c>
      <c r="E11" s="7">
        <v>1024</v>
      </c>
      <c r="F11" s="1" t="str">
        <f t="shared" si="0"/>
        <v>linux-b4ms-standard</v>
      </c>
      <c r="G11" s="12">
        <f t="shared" si="1"/>
        <v>140.16</v>
      </c>
      <c r="H11" s="1" t="str">
        <f t="shared" si="2"/>
        <v>standardhdd-s30</v>
      </c>
      <c r="I11" s="1">
        <f t="shared" si="3"/>
        <v>40.96</v>
      </c>
    </row>
    <row r="12" spans="1:9" x14ac:dyDescent="0.35">
      <c r="A12" s="7" t="s">
        <v>70</v>
      </c>
      <c r="B12" s="7" t="s">
        <v>53</v>
      </c>
      <c r="C12" s="7">
        <v>8</v>
      </c>
      <c r="D12" s="7">
        <v>8</v>
      </c>
      <c r="E12" s="7">
        <v>2048</v>
      </c>
      <c r="F12" s="1" t="str">
        <f t="shared" si="0"/>
        <v>linux-a8v2-standard</v>
      </c>
      <c r="G12" s="12">
        <f t="shared" si="1"/>
        <v>279.59000000000003</v>
      </c>
      <c r="H12" s="1" t="str">
        <f t="shared" si="2"/>
        <v>standardhdd-s40</v>
      </c>
      <c r="I12" s="1">
        <f t="shared" si="3"/>
        <v>81.92</v>
      </c>
    </row>
    <row r="13" spans="1:9" x14ac:dyDescent="0.35">
      <c r="A13" s="7" t="s">
        <v>69</v>
      </c>
      <c r="B13" s="7" t="s">
        <v>53</v>
      </c>
      <c r="C13" s="7">
        <v>8</v>
      </c>
      <c r="D13" s="7">
        <v>16</v>
      </c>
      <c r="E13" s="7">
        <v>1024</v>
      </c>
      <c r="F13" s="1" t="str">
        <f t="shared" si="0"/>
        <v>linux-a8v2-standard</v>
      </c>
      <c r="G13" s="12">
        <f t="shared" si="1"/>
        <v>279.59000000000003</v>
      </c>
      <c r="H13" s="1" t="str">
        <f t="shared" si="2"/>
        <v>standardhdd-s30</v>
      </c>
      <c r="I13" s="1">
        <f t="shared" si="3"/>
        <v>40.96</v>
      </c>
    </row>
    <row r="14" spans="1:9" x14ac:dyDescent="0.35">
      <c r="A14" s="7" t="s">
        <v>67</v>
      </c>
      <c r="B14" s="7" t="s">
        <v>53</v>
      </c>
      <c r="C14" s="7">
        <v>8</v>
      </c>
      <c r="D14" s="7">
        <v>16</v>
      </c>
      <c r="E14" s="7">
        <v>256</v>
      </c>
      <c r="F14" s="1" t="str">
        <f t="shared" si="0"/>
        <v>linux-a8v2-standard</v>
      </c>
      <c r="G14" s="12">
        <f t="shared" si="1"/>
        <v>279.59000000000003</v>
      </c>
      <c r="H14" s="1" t="str">
        <f t="shared" si="2"/>
        <v>standardhdd-s15</v>
      </c>
      <c r="I14" s="1">
        <f t="shared" si="3"/>
        <v>11.327999999999999</v>
      </c>
    </row>
    <row r="15" spans="1:9" x14ac:dyDescent="0.35">
      <c r="A15" s="7" t="s">
        <v>66</v>
      </c>
      <c r="B15" s="7" t="s">
        <v>53</v>
      </c>
      <c r="C15" s="7">
        <v>8</v>
      </c>
      <c r="D15" s="7">
        <v>16</v>
      </c>
      <c r="E15" s="7">
        <v>128</v>
      </c>
      <c r="F15" s="1" t="str">
        <f t="shared" si="0"/>
        <v>linux-a8v2-standard</v>
      </c>
      <c r="G15" s="12">
        <f t="shared" si="1"/>
        <v>279.59000000000003</v>
      </c>
      <c r="H15" s="1" t="str">
        <f t="shared" si="2"/>
        <v>standardhdd-s10</v>
      </c>
      <c r="I15" s="1">
        <f t="shared" si="3"/>
        <v>5.8879999999999999</v>
      </c>
    </row>
    <row r="16" spans="1:9" x14ac:dyDescent="0.35">
      <c r="A16" s="7" t="s">
        <v>65</v>
      </c>
      <c r="B16" s="7" t="s">
        <v>53</v>
      </c>
      <c r="C16" s="7">
        <v>8</v>
      </c>
      <c r="D16" s="7">
        <v>16</v>
      </c>
      <c r="E16" s="7">
        <v>512</v>
      </c>
      <c r="F16" s="1" t="str">
        <f t="shared" si="0"/>
        <v>linux-a8v2-standard</v>
      </c>
      <c r="G16" s="12">
        <f t="shared" si="1"/>
        <v>279.59000000000003</v>
      </c>
      <c r="H16" s="1" t="str">
        <f t="shared" si="2"/>
        <v>standardhdd-s20</v>
      </c>
      <c r="I16" s="1">
        <f t="shared" si="3"/>
        <v>21.76</v>
      </c>
    </row>
    <row r="17" spans="1:9" x14ac:dyDescent="0.35">
      <c r="A17" s="7" t="s">
        <v>64</v>
      </c>
      <c r="B17" s="7" t="s">
        <v>53</v>
      </c>
      <c r="C17" s="7">
        <v>8</v>
      </c>
      <c r="D17" s="7">
        <v>32</v>
      </c>
      <c r="E17" s="7">
        <v>1024</v>
      </c>
      <c r="F17" s="1" t="str">
        <f t="shared" si="0"/>
        <v>linux-b8ms-standard</v>
      </c>
      <c r="G17" s="12">
        <f t="shared" si="1"/>
        <v>280.32</v>
      </c>
      <c r="H17" s="1" t="str">
        <f t="shared" si="2"/>
        <v>standardhdd-s30</v>
      </c>
      <c r="I17" s="1">
        <f t="shared" si="3"/>
        <v>40.96</v>
      </c>
    </row>
    <row r="18" spans="1:9" x14ac:dyDescent="0.35">
      <c r="A18" s="7" t="s">
        <v>63</v>
      </c>
      <c r="B18" s="7" t="s">
        <v>53</v>
      </c>
      <c r="C18" s="7">
        <v>8</v>
      </c>
      <c r="D18" s="7">
        <v>32</v>
      </c>
      <c r="E18" s="7">
        <v>2048</v>
      </c>
      <c r="F18" s="1" t="str">
        <f t="shared" si="0"/>
        <v>linux-b8ms-standard</v>
      </c>
      <c r="G18" s="12">
        <f t="shared" si="1"/>
        <v>280.32</v>
      </c>
      <c r="H18" s="1" t="str">
        <f t="shared" si="2"/>
        <v>standardhdd-s40</v>
      </c>
      <c r="I18" s="1">
        <f t="shared" si="3"/>
        <v>81.92</v>
      </c>
    </row>
    <row r="19" spans="1:9" x14ac:dyDescent="0.35">
      <c r="A19" s="7" t="s">
        <v>62</v>
      </c>
      <c r="B19" s="7" t="s">
        <v>53</v>
      </c>
      <c r="C19" s="7">
        <v>8</v>
      </c>
      <c r="D19" s="7">
        <v>32</v>
      </c>
      <c r="E19" s="7">
        <v>2048</v>
      </c>
      <c r="F19" s="1" t="str">
        <f t="shared" si="0"/>
        <v>linux-b8ms-standard</v>
      </c>
      <c r="G19" s="12">
        <f t="shared" si="1"/>
        <v>280.32</v>
      </c>
      <c r="H19" s="1" t="str">
        <f t="shared" si="2"/>
        <v>standardhdd-s40</v>
      </c>
      <c r="I19" s="1">
        <f t="shared" si="3"/>
        <v>81.92</v>
      </c>
    </row>
    <row r="20" spans="1:9" x14ac:dyDescent="0.35">
      <c r="A20" s="7" t="s">
        <v>61</v>
      </c>
      <c r="B20" s="7" t="s">
        <v>53</v>
      </c>
      <c r="C20" s="7">
        <v>16</v>
      </c>
      <c r="D20" s="7">
        <v>32</v>
      </c>
      <c r="E20" s="7">
        <v>4096</v>
      </c>
      <c r="F20" s="1" t="str">
        <f t="shared" si="0"/>
        <v>linux-f16sv2-standard</v>
      </c>
      <c r="G20" s="12">
        <f t="shared" si="1"/>
        <v>566.48</v>
      </c>
      <c r="H20" s="1" t="str">
        <f t="shared" si="2"/>
        <v>standardhdd-s50</v>
      </c>
      <c r="I20" s="1">
        <f t="shared" si="3"/>
        <v>163.84</v>
      </c>
    </row>
    <row r="21" spans="1:9" x14ac:dyDescent="0.35">
      <c r="A21" s="7" t="s">
        <v>60</v>
      </c>
      <c r="B21" s="7" t="s">
        <v>53</v>
      </c>
      <c r="C21" s="7">
        <v>16</v>
      </c>
      <c r="D21" s="7">
        <v>64</v>
      </c>
      <c r="E21" s="7">
        <v>2048</v>
      </c>
      <c r="F21" s="1" t="str">
        <f t="shared" si="0"/>
        <v>linux-d16v3-standard</v>
      </c>
      <c r="G21" s="12">
        <f t="shared" si="1"/>
        <v>700.8</v>
      </c>
      <c r="H21" s="1" t="str">
        <f t="shared" si="2"/>
        <v>standardhdd-s40</v>
      </c>
      <c r="I21" s="1">
        <f t="shared" si="3"/>
        <v>81.92</v>
      </c>
    </row>
    <row r="22" spans="1:9" x14ac:dyDescent="0.35">
      <c r="A22" s="7" t="s">
        <v>59</v>
      </c>
      <c r="B22" s="7" t="s">
        <v>53</v>
      </c>
      <c r="C22" s="7">
        <v>16</v>
      </c>
      <c r="D22" s="7">
        <v>64</v>
      </c>
      <c r="E22" s="7">
        <v>1024</v>
      </c>
      <c r="F22" s="1" t="str">
        <f t="shared" si="0"/>
        <v>linux-d16v3-standard</v>
      </c>
      <c r="G22" s="12">
        <f t="shared" si="1"/>
        <v>700.8</v>
      </c>
      <c r="H22" s="1" t="str">
        <f t="shared" si="2"/>
        <v>standardhdd-s30</v>
      </c>
      <c r="I22" s="1">
        <f t="shared" si="3"/>
        <v>40.96</v>
      </c>
    </row>
    <row r="23" spans="1:9" x14ac:dyDescent="0.35">
      <c r="A23" s="7" t="s">
        <v>58</v>
      </c>
      <c r="B23" s="7" t="s">
        <v>53</v>
      </c>
      <c r="C23" s="7">
        <v>16</v>
      </c>
      <c r="D23" s="7">
        <v>64</v>
      </c>
      <c r="E23" s="7">
        <v>1024</v>
      </c>
      <c r="F23" s="1" t="str">
        <f t="shared" si="0"/>
        <v>linux-d16v3-standard</v>
      </c>
      <c r="G23" s="12">
        <f t="shared" si="1"/>
        <v>700.8</v>
      </c>
      <c r="H23" s="1" t="str">
        <f t="shared" si="2"/>
        <v>standardhdd-s30</v>
      </c>
      <c r="I23" s="1">
        <f t="shared" si="3"/>
        <v>40.96</v>
      </c>
    </row>
    <row r="24" spans="1:9" x14ac:dyDescent="0.35">
      <c r="A24" s="7" t="s">
        <v>57</v>
      </c>
      <c r="B24" s="7" t="s">
        <v>53</v>
      </c>
      <c r="C24" s="7">
        <v>16</v>
      </c>
      <c r="D24" s="7">
        <v>128</v>
      </c>
      <c r="E24" s="7">
        <v>2048</v>
      </c>
      <c r="F24" s="1" t="str">
        <f t="shared" si="0"/>
        <v>linux-e16v3-standard</v>
      </c>
      <c r="G24" s="12">
        <f t="shared" si="1"/>
        <v>934.4</v>
      </c>
      <c r="H24" s="1" t="str">
        <f t="shared" si="2"/>
        <v>standardhdd-s40</v>
      </c>
      <c r="I24" s="1">
        <f t="shared" si="3"/>
        <v>81.92</v>
      </c>
    </row>
    <row r="25" spans="1:9" x14ac:dyDescent="0.35">
      <c r="A25" s="7" t="s">
        <v>56</v>
      </c>
      <c r="B25" s="7" t="s">
        <v>53</v>
      </c>
      <c r="C25" s="7">
        <v>32</v>
      </c>
      <c r="D25" s="7">
        <v>32</v>
      </c>
      <c r="E25" s="7">
        <v>8192</v>
      </c>
      <c r="F25" s="1" t="str">
        <f t="shared" si="0"/>
        <v>linux-f32sv2-standard</v>
      </c>
      <c r="G25" s="12">
        <f t="shared" si="1"/>
        <v>1132.96</v>
      </c>
      <c r="H25" s="1" t="str">
        <f t="shared" si="2"/>
        <v>standardhdd-s60</v>
      </c>
      <c r="I25" s="1">
        <f t="shared" si="3"/>
        <v>327.68</v>
      </c>
    </row>
    <row r="26" spans="1:9" x14ac:dyDescent="0.35">
      <c r="A26" s="7" t="s">
        <v>55</v>
      </c>
      <c r="B26" s="7" t="s">
        <v>53</v>
      </c>
      <c r="C26" s="7">
        <v>64</v>
      </c>
      <c r="D26" s="7">
        <v>128</v>
      </c>
      <c r="E26" s="7">
        <v>4096</v>
      </c>
      <c r="F26" s="1" t="str">
        <f t="shared" si="0"/>
        <v>linux-f64sv2-standard</v>
      </c>
      <c r="G26" s="12">
        <f t="shared" si="1"/>
        <v>2265.92</v>
      </c>
      <c r="H26" s="1" t="str">
        <f t="shared" si="2"/>
        <v>standardhdd-s50</v>
      </c>
      <c r="I26" s="1">
        <f t="shared" si="3"/>
        <v>163.84</v>
      </c>
    </row>
    <row r="27" spans="1:9" x14ac:dyDescent="0.35">
      <c r="A27" s="7" t="s">
        <v>54</v>
      </c>
      <c r="B27" s="7" t="s">
        <v>53</v>
      </c>
      <c r="C27" s="7">
        <v>128</v>
      </c>
      <c r="D27" s="7">
        <v>128</v>
      </c>
      <c r="E27" s="7">
        <v>16384</v>
      </c>
      <c r="F27" s="1" t="str">
        <f t="shared" si="0"/>
        <v>linux-m128-standard</v>
      </c>
      <c r="G27" s="12">
        <f t="shared" si="1"/>
        <v>13631.289999999999</v>
      </c>
      <c r="H27" s="1" t="str">
        <f t="shared" si="2"/>
        <v>standardhdd-s70</v>
      </c>
      <c r="I27" s="1">
        <f t="shared" si="3"/>
        <v>655.36</v>
      </c>
    </row>
    <row r="28" spans="1:9" x14ac:dyDescent="0.35">
      <c r="A28" s="7" t="s">
        <v>52</v>
      </c>
      <c r="B28" s="7" t="s">
        <v>37</v>
      </c>
      <c r="C28" s="7">
        <v>2</v>
      </c>
      <c r="D28" s="7">
        <v>4</v>
      </c>
      <c r="E28" s="7">
        <v>32</v>
      </c>
      <c r="F28" s="1" t="str">
        <f t="shared" si="0"/>
        <v>linux-b2s-standard</v>
      </c>
      <c r="G28" s="12">
        <f t="shared" si="1"/>
        <v>35.04</v>
      </c>
      <c r="H28" s="1" t="str">
        <f t="shared" si="2"/>
        <v>standardhdd-s4</v>
      </c>
      <c r="I28" s="1">
        <f t="shared" si="3"/>
        <v>1.536</v>
      </c>
    </row>
    <row r="29" spans="1:9" x14ac:dyDescent="0.35">
      <c r="A29" s="7" t="s">
        <v>51</v>
      </c>
      <c r="B29" s="7" t="s">
        <v>37</v>
      </c>
      <c r="C29" s="7">
        <v>2</v>
      </c>
      <c r="D29" s="7">
        <v>4</v>
      </c>
      <c r="E29" s="7">
        <v>256</v>
      </c>
      <c r="F29" s="1" t="str">
        <f t="shared" si="0"/>
        <v>linux-b2s-standard</v>
      </c>
      <c r="G29" s="12">
        <f t="shared" si="1"/>
        <v>35.04</v>
      </c>
      <c r="H29" s="1" t="str">
        <f t="shared" si="2"/>
        <v>standardhdd-s15</v>
      </c>
      <c r="I29" s="1">
        <f t="shared" si="3"/>
        <v>11.327999999999999</v>
      </c>
    </row>
    <row r="30" spans="1:9" x14ac:dyDescent="0.35">
      <c r="A30" s="7" t="s">
        <v>50</v>
      </c>
      <c r="B30" s="7" t="s">
        <v>37</v>
      </c>
      <c r="C30" s="7">
        <v>2</v>
      </c>
      <c r="D30" s="7">
        <v>6</v>
      </c>
      <c r="E30" s="7">
        <v>32</v>
      </c>
      <c r="F30" s="1" t="str">
        <f t="shared" si="0"/>
        <v>linux-b2ms-standard</v>
      </c>
      <c r="G30" s="12">
        <f t="shared" si="1"/>
        <v>70.08</v>
      </c>
      <c r="H30" s="1" t="str">
        <f t="shared" si="2"/>
        <v>standardhdd-s4</v>
      </c>
      <c r="I30" s="1">
        <f t="shared" si="3"/>
        <v>1.536</v>
      </c>
    </row>
    <row r="31" spans="1:9" x14ac:dyDescent="0.35">
      <c r="A31" s="7" t="s">
        <v>49</v>
      </c>
      <c r="B31" s="7" t="s">
        <v>37</v>
      </c>
      <c r="C31" s="7">
        <v>2</v>
      </c>
      <c r="D31" s="7">
        <v>6</v>
      </c>
      <c r="E31" s="7">
        <v>512</v>
      </c>
      <c r="F31" s="1" t="str">
        <f t="shared" si="0"/>
        <v>linux-b2ms-standard</v>
      </c>
      <c r="G31" s="12">
        <f t="shared" si="1"/>
        <v>70.08</v>
      </c>
      <c r="H31" s="1" t="str">
        <f t="shared" si="2"/>
        <v>standardhdd-s20</v>
      </c>
      <c r="I31" s="1">
        <f t="shared" si="3"/>
        <v>21.76</v>
      </c>
    </row>
    <row r="32" spans="1:9" x14ac:dyDescent="0.35">
      <c r="A32" s="7" t="s">
        <v>48</v>
      </c>
      <c r="B32" s="7" t="s">
        <v>37</v>
      </c>
      <c r="C32" s="7">
        <v>4</v>
      </c>
      <c r="D32" s="7">
        <v>4</v>
      </c>
      <c r="E32" s="7">
        <v>256</v>
      </c>
      <c r="F32" s="1" t="str">
        <f t="shared" si="0"/>
        <v>linux-a4v2-standard</v>
      </c>
      <c r="G32" s="12">
        <f t="shared" si="1"/>
        <v>133.59</v>
      </c>
      <c r="H32" s="1" t="str">
        <f t="shared" si="2"/>
        <v>standardhdd-s15</v>
      </c>
      <c r="I32" s="1">
        <f t="shared" si="3"/>
        <v>11.327999999999999</v>
      </c>
    </row>
    <row r="33" spans="1:12" x14ac:dyDescent="0.35">
      <c r="A33" s="7" t="s">
        <v>47</v>
      </c>
      <c r="B33" s="7" t="s">
        <v>37</v>
      </c>
      <c r="C33" s="7">
        <v>4</v>
      </c>
      <c r="D33" s="7">
        <v>4</v>
      </c>
      <c r="E33" s="7">
        <v>256</v>
      </c>
      <c r="F33" s="1" t="str">
        <f t="shared" si="0"/>
        <v>linux-a4v2-standard</v>
      </c>
      <c r="G33" s="12">
        <f t="shared" si="1"/>
        <v>133.59</v>
      </c>
      <c r="H33" s="1" t="str">
        <f t="shared" si="2"/>
        <v>standardhdd-s15</v>
      </c>
      <c r="I33" s="1">
        <f t="shared" si="3"/>
        <v>11.327999999999999</v>
      </c>
    </row>
    <row r="34" spans="1:12" x14ac:dyDescent="0.35">
      <c r="A34" s="7" t="s">
        <v>46</v>
      </c>
      <c r="B34" s="7" t="s">
        <v>37</v>
      </c>
      <c r="C34" s="7">
        <v>4</v>
      </c>
      <c r="D34" s="7">
        <v>8</v>
      </c>
      <c r="E34" s="7">
        <v>512</v>
      </c>
      <c r="F34" s="1" t="str">
        <f t="shared" si="0"/>
        <v>linux-a4v2-standard</v>
      </c>
      <c r="G34" s="12">
        <f t="shared" si="1"/>
        <v>133.59</v>
      </c>
      <c r="H34" s="1" t="str">
        <f t="shared" si="2"/>
        <v>standardhdd-s20</v>
      </c>
      <c r="I34" s="1">
        <f t="shared" si="3"/>
        <v>21.76</v>
      </c>
    </row>
    <row r="35" spans="1:12" x14ac:dyDescent="0.35">
      <c r="A35" s="7" t="s">
        <v>45</v>
      </c>
      <c r="B35" s="7" t="s">
        <v>37</v>
      </c>
      <c r="C35" s="7">
        <v>4</v>
      </c>
      <c r="D35" s="7">
        <v>8</v>
      </c>
      <c r="E35" s="7">
        <v>128</v>
      </c>
      <c r="F35" s="1" t="str">
        <f t="shared" si="0"/>
        <v>linux-a4v2-standard</v>
      </c>
      <c r="G35" s="12">
        <f t="shared" si="1"/>
        <v>133.59</v>
      </c>
      <c r="H35" s="1" t="str">
        <f t="shared" si="2"/>
        <v>standardhdd-s10</v>
      </c>
      <c r="I35" s="1">
        <f t="shared" si="3"/>
        <v>5.8879999999999999</v>
      </c>
    </row>
    <row r="36" spans="1:12" x14ac:dyDescent="0.35">
      <c r="A36" s="7" t="s">
        <v>44</v>
      </c>
      <c r="B36" s="7" t="s">
        <v>37</v>
      </c>
      <c r="C36" s="7">
        <v>4</v>
      </c>
      <c r="D36" s="7">
        <v>4</v>
      </c>
      <c r="E36" s="7">
        <v>256</v>
      </c>
      <c r="F36" s="1" t="str">
        <f t="shared" si="0"/>
        <v>linux-a4v2-standard</v>
      </c>
      <c r="G36" s="12">
        <f t="shared" si="1"/>
        <v>133.59</v>
      </c>
      <c r="H36" s="1" t="str">
        <f t="shared" si="2"/>
        <v>standardhdd-s15</v>
      </c>
      <c r="I36" s="1">
        <f t="shared" si="3"/>
        <v>11.327999999999999</v>
      </c>
    </row>
    <row r="37" spans="1:12" x14ac:dyDescent="0.35">
      <c r="A37" s="7" t="s">
        <v>43</v>
      </c>
      <c r="B37" s="7" t="s">
        <v>37</v>
      </c>
      <c r="C37" s="7">
        <v>8</v>
      </c>
      <c r="D37" s="7">
        <v>16</v>
      </c>
      <c r="E37" s="7">
        <v>256</v>
      </c>
      <c r="F37" s="1" t="str">
        <f t="shared" si="0"/>
        <v>linux-a8v2-standard</v>
      </c>
      <c r="G37" s="12">
        <f t="shared" si="1"/>
        <v>279.59000000000003</v>
      </c>
      <c r="H37" s="1" t="str">
        <f t="shared" si="2"/>
        <v>standardhdd-s15</v>
      </c>
      <c r="I37" s="1">
        <f t="shared" si="3"/>
        <v>11.327999999999999</v>
      </c>
    </row>
    <row r="38" spans="1:12" x14ac:dyDescent="0.35">
      <c r="A38" s="7" t="s">
        <v>42</v>
      </c>
      <c r="B38" s="7" t="s">
        <v>37</v>
      </c>
      <c r="C38" s="7">
        <v>8</v>
      </c>
      <c r="D38" s="7">
        <v>16</v>
      </c>
      <c r="E38" s="7">
        <v>128</v>
      </c>
      <c r="F38" s="1" t="str">
        <f t="shared" si="0"/>
        <v>linux-a8v2-standard</v>
      </c>
      <c r="G38" s="12">
        <f t="shared" si="1"/>
        <v>279.59000000000003</v>
      </c>
      <c r="H38" s="1" t="str">
        <f t="shared" si="2"/>
        <v>standardhdd-s10</v>
      </c>
      <c r="I38" s="1">
        <f t="shared" si="3"/>
        <v>5.8879999999999999</v>
      </c>
    </row>
    <row r="39" spans="1:12" x14ac:dyDescent="0.35">
      <c r="A39" s="7" t="s">
        <v>41</v>
      </c>
      <c r="B39" s="7" t="s">
        <v>37</v>
      </c>
      <c r="C39" s="7">
        <v>16</v>
      </c>
      <c r="D39" s="7">
        <v>16</v>
      </c>
      <c r="E39" s="7">
        <v>512</v>
      </c>
      <c r="F39" s="1" t="str">
        <f t="shared" si="0"/>
        <v>linux-f16sv2-standard</v>
      </c>
      <c r="G39" s="12">
        <f t="shared" si="1"/>
        <v>566.48</v>
      </c>
      <c r="H39" s="1" t="str">
        <f t="shared" si="2"/>
        <v>standardhdd-s20</v>
      </c>
      <c r="I39" s="1">
        <f t="shared" si="3"/>
        <v>21.76</v>
      </c>
    </row>
    <row r="40" spans="1:12" x14ac:dyDescent="0.35">
      <c r="A40" s="7" t="s">
        <v>40</v>
      </c>
      <c r="B40" s="7" t="s">
        <v>37</v>
      </c>
      <c r="C40" s="7">
        <v>16</v>
      </c>
      <c r="D40" s="7">
        <v>16</v>
      </c>
      <c r="E40" s="7">
        <v>2048</v>
      </c>
      <c r="F40" s="1" t="str">
        <f t="shared" si="0"/>
        <v>linux-f16sv2-standard</v>
      </c>
      <c r="G40" s="12">
        <f t="shared" si="1"/>
        <v>566.48</v>
      </c>
      <c r="H40" s="1" t="str">
        <f t="shared" si="2"/>
        <v>standardhdd-s40</v>
      </c>
      <c r="I40" s="1">
        <f t="shared" si="3"/>
        <v>81.92</v>
      </c>
    </row>
    <row r="41" spans="1:12" x14ac:dyDescent="0.35">
      <c r="A41" s="7" t="s">
        <v>39</v>
      </c>
      <c r="B41" s="7" t="s">
        <v>37</v>
      </c>
      <c r="C41" s="7">
        <v>32</v>
      </c>
      <c r="D41" s="7">
        <v>128</v>
      </c>
      <c r="E41" s="7">
        <v>512</v>
      </c>
      <c r="F41" s="1" t="str">
        <f t="shared" si="0"/>
        <v>linux-d32v3-standard</v>
      </c>
      <c r="G41" s="12">
        <f t="shared" si="1"/>
        <v>1401.6</v>
      </c>
      <c r="H41" s="1" t="str">
        <f t="shared" si="2"/>
        <v>standardhdd-s20</v>
      </c>
      <c r="I41" s="1">
        <f t="shared" si="3"/>
        <v>21.76</v>
      </c>
    </row>
    <row r="42" spans="1:12" x14ac:dyDescent="0.35">
      <c r="A42" s="7" t="s">
        <v>38</v>
      </c>
      <c r="B42" s="7" t="s">
        <v>37</v>
      </c>
      <c r="C42" s="7">
        <v>64</v>
      </c>
      <c r="D42" s="7">
        <v>128</v>
      </c>
      <c r="E42" s="7">
        <v>2048</v>
      </c>
      <c r="F42" s="1" t="str">
        <f t="shared" si="0"/>
        <v>linux-f64sv2-standard</v>
      </c>
      <c r="G42" s="12">
        <f t="shared" si="1"/>
        <v>2265.92</v>
      </c>
      <c r="H42" s="1" t="str">
        <f t="shared" si="2"/>
        <v>standardhdd-s40</v>
      </c>
      <c r="I42" s="1">
        <f t="shared" si="3"/>
        <v>81.92</v>
      </c>
    </row>
    <row r="43" spans="1:12" x14ac:dyDescent="0.35">
      <c r="L43" s="2" t="s">
        <v>36</v>
      </c>
    </row>
    <row r="44" spans="1:12" x14ac:dyDescent="0.35">
      <c r="A44" s="2" t="s">
        <v>36</v>
      </c>
      <c r="B44" s="2"/>
      <c r="C44" s="2"/>
      <c r="D44" s="2"/>
      <c r="E44" s="2"/>
      <c r="F44" s="2"/>
      <c r="G44" s="9">
        <f>SUM(G2:G42)</f>
        <v>30106.660000000003</v>
      </c>
      <c r="H44" s="2"/>
      <c r="I44" s="6">
        <f>SUM(I2:I42)</f>
        <v>2345.6640000000007</v>
      </c>
      <c r="L44" s="9">
        <f>SUM(G44:I44)</f>
        <v>32452.324000000004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5C989-4DC0-4E9F-BB30-A3A7B7401164}">
  <sheetPr codeName="Sheet1"/>
  <dimension ref="A1:N44"/>
  <sheetViews>
    <sheetView workbookViewId="0">
      <selection activeCell="O15" sqref="O15"/>
    </sheetView>
  </sheetViews>
  <sheetFormatPr defaultRowHeight="14.5" x14ac:dyDescent="0.35"/>
  <cols>
    <col min="1" max="2" width="8.7265625" style="7"/>
    <col min="3" max="3" width="12.90625" style="7" customWidth="1"/>
    <col min="4" max="4" width="11.90625" style="7" customWidth="1"/>
    <col min="5" max="5" width="8.7265625" style="7"/>
    <col min="6" max="6" width="13.08984375" style="7" customWidth="1"/>
    <col min="7" max="7" width="15.26953125" style="7" customWidth="1"/>
    <col min="8" max="8" width="19.36328125" style="7" customWidth="1"/>
    <col min="9" max="9" width="15" style="7" bestFit="1" customWidth="1"/>
    <col min="10" max="10" width="15.08984375" style="7" bestFit="1" customWidth="1"/>
    <col min="11" max="11" width="15.6328125" style="7" bestFit="1" customWidth="1"/>
    <col min="12" max="13" width="8.7265625" style="7"/>
    <col min="14" max="14" width="10.90625" style="7" bestFit="1" customWidth="1"/>
    <col min="15" max="16384" width="8.7265625" style="7"/>
  </cols>
  <sheetData>
    <row r="1" spans="1:11" x14ac:dyDescent="0.35">
      <c r="C1" s="13" t="s">
        <v>89</v>
      </c>
      <c r="D1" s="13" t="s">
        <v>88</v>
      </c>
      <c r="E1" s="13" t="s">
        <v>87</v>
      </c>
      <c r="F1" s="13" t="s">
        <v>86</v>
      </c>
      <c r="G1" s="13" t="s">
        <v>85</v>
      </c>
      <c r="H1" s="13" t="s">
        <v>84</v>
      </c>
      <c r="I1" s="13" t="s">
        <v>83</v>
      </c>
      <c r="J1" s="13" t="s">
        <v>82</v>
      </c>
      <c r="K1" s="13" t="s">
        <v>81</v>
      </c>
    </row>
    <row r="2" spans="1:11" x14ac:dyDescent="0.35">
      <c r="C2" s="7" t="s">
        <v>80</v>
      </c>
      <c r="D2" s="7" t="s">
        <v>53</v>
      </c>
      <c r="E2" s="7">
        <v>2</v>
      </c>
      <c r="F2" s="7">
        <v>2</v>
      </c>
      <c r="G2" s="7">
        <v>32</v>
      </c>
      <c r="H2" s="1" t="str">
        <f>getVM(E2,F2,$A$6,$A$9,$A$12)</f>
        <v>linux-b2s-standard</v>
      </c>
      <c r="I2" s="12">
        <f>getVMPriceHour(H2,$A$6,$A$9,$A$12)*$A$15</f>
        <v>13.191099999999999</v>
      </c>
      <c r="J2" s="1" t="str">
        <f>getManagedDisk(G2,$A$9,$A$12)</f>
        <v>standardhdd-s4</v>
      </c>
      <c r="K2" s="11">
        <f>getManagedDiskPriceMonth(J2,$A$9,$A$12)</f>
        <v>1.536</v>
      </c>
    </row>
    <row r="3" spans="1:11" x14ac:dyDescent="0.35">
      <c r="C3" s="7" t="s">
        <v>79</v>
      </c>
      <c r="D3" s="7" t="s">
        <v>53</v>
      </c>
      <c r="E3" s="7">
        <v>2</v>
      </c>
      <c r="F3" s="7">
        <v>4</v>
      </c>
      <c r="G3" s="7">
        <v>64</v>
      </c>
      <c r="H3" s="1" t="str">
        <f>getVM(E3,F3,$A$6,$A$9,$A$12)</f>
        <v>linux-b2s-standard</v>
      </c>
      <c r="I3" s="12">
        <f>getVMPriceHour(H3,$A$6,$A$9,$A$12)*$A$15</f>
        <v>13.191099999999999</v>
      </c>
      <c r="J3" s="1" t="str">
        <f>getManagedDisk(G3,$A$9,$A$12)</f>
        <v>standardhdd-s6</v>
      </c>
      <c r="K3" s="11">
        <f>getManagedDiskPriceMonth(J3,$A$9,$A$12)</f>
        <v>3.008</v>
      </c>
    </row>
    <row r="4" spans="1:11" x14ac:dyDescent="0.35">
      <c r="C4" s="7" t="s">
        <v>78</v>
      </c>
      <c r="D4" s="7" t="s">
        <v>53</v>
      </c>
      <c r="E4" s="7">
        <v>2</v>
      </c>
      <c r="F4" s="7">
        <v>4</v>
      </c>
      <c r="G4" s="7">
        <v>256</v>
      </c>
      <c r="H4" s="1" t="str">
        <f>getVM(E4,F4,$A$6,$A$9,$A$12)</f>
        <v>linux-b2s-standard</v>
      </c>
      <c r="I4" s="12">
        <f>getVMPriceHour(H4,$A$6,$A$9,$A$12)*$A$15</f>
        <v>13.191099999999999</v>
      </c>
      <c r="J4" s="1" t="str">
        <f>getManagedDisk(G4,$A$9,$A$12)</f>
        <v>standardhdd-s15</v>
      </c>
      <c r="K4" s="11">
        <f>getManagedDiskPriceMonth(J4,$A$9,$A$12)</f>
        <v>11.327999999999999</v>
      </c>
    </row>
    <row r="5" spans="1:11" x14ac:dyDescent="0.35">
      <c r="A5" s="2" t="s">
        <v>4</v>
      </c>
      <c r="C5" s="7" t="s">
        <v>77</v>
      </c>
      <c r="D5" s="7" t="s">
        <v>53</v>
      </c>
      <c r="E5" s="7">
        <v>2</v>
      </c>
      <c r="F5" s="7">
        <v>6</v>
      </c>
      <c r="G5" s="7">
        <v>256</v>
      </c>
      <c r="H5" s="1" t="str">
        <f>getVM(E5,F5,$A$6,$A$9,$A$12)</f>
        <v>linux-b2ms-standard</v>
      </c>
      <c r="I5" s="12">
        <f>getVMPriceHour(H5,$A$6,$A$9,$A$12)*$A$15</f>
        <v>26.389500000000002</v>
      </c>
      <c r="J5" s="1" t="str">
        <f>getManagedDisk(G5,$A$9,$A$12)</f>
        <v>standardhdd-s15</v>
      </c>
      <c r="K5" s="11">
        <f>getManagedDiskPriceMonth(J5,$A$9,$A$12)</f>
        <v>11.327999999999999</v>
      </c>
    </row>
    <row r="6" spans="1:11" x14ac:dyDescent="0.35">
      <c r="A6" s="7">
        <v>3</v>
      </c>
      <c r="C6" s="7" t="s">
        <v>76</v>
      </c>
      <c r="D6" s="7" t="s">
        <v>53</v>
      </c>
      <c r="E6" s="7">
        <v>4</v>
      </c>
      <c r="F6" s="7">
        <v>6</v>
      </c>
      <c r="G6" s="7">
        <v>128</v>
      </c>
      <c r="H6" s="1" t="str">
        <f>getVM(E6,F6,$A$6,$A$9,$A$12)</f>
        <v>linux-f4sv2-standard</v>
      </c>
      <c r="I6" s="12">
        <f>getVMPriceHour(H6,$A$6,$A$9,$A$12)*$A$15</f>
        <v>51.114599999999996</v>
      </c>
      <c r="J6" s="1" t="str">
        <f>getManagedDisk(G6,$A$9,$A$12)</f>
        <v>standardhdd-s10</v>
      </c>
      <c r="K6" s="11">
        <f>getManagedDiskPriceMonth(J6,$A$9,$A$12)</f>
        <v>5.8879999999999999</v>
      </c>
    </row>
    <row r="7" spans="1:11" x14ac:dyDescent="0.35">
      <c r="C7" s="7" t="s">
        <v>75</v>
      </c>
      <c r="D7" s="7" t="s">
        <v>53</v>
      </c>
      <c r="E7" s="7">
        <v>4</v>
      </c>
      <c r="F7" s="7">
        <v>8</v>
      </c>
      <c r="G7" s="7">
        <v>64</v>
      </c>
      <c r="H7" s="1" t="str">
        <f>getVM(E7,F7,$A$6,$A$9,$A$12)</f>
        <v>linux-f4sv2-standard</v>
      </c>
      <c r="I7" s="12">
        <f>getVMPriceHour(H7,$A$6,$A$9,$A$12)*$A$15</f>
        <v>51.114599999999996</v>
      </c>
      <c r="J7" s="1" t="str">
        <f>getManagedDisk(G7,$A$9,$A$12)</f>
        <v>standardhdd-s6</v>
      </c>
      <c r="K7" s="11">
        <f>getManagedDiskPriceMonth(J7,$A$9,$A$12)</f>
        <v>3.008</v>
      </c>
    </row>
    <row r="8" spans="1:11" x14ac:dyDescent="0.35">
      <c r="A8" s="2" t="s">
        <v>3</v>
      </c>
      <c r="C8" s="7" t="s">
        <v>74</v>
      </c>
      <c r="D8" s="7" t="s">
        <v>53</v>
      </c>
      <c r="E8" s="7">
        <v>4</v>
      </c>
      <c r="F8" s="7">
        <v>8</v>
      </c>
      <c r="G8" s="7">
        <v>128</v>
      </c>
      <c r="H8" s="1" t="str">
        <f>getVM(E8,F8,$A$6,$A$9,$A$12)</f>
        <v>linux-f4sv2-standard</v>
      </c>
      <c r="I8" s="12">
        <f>getVMPriceHour(H8,$A$6,$A$9,$A$12)*$A$15</f>
        <v>51.114599999999996</v>
      </c>
      <c r="J8" s="1" t="str">
        <f>getManagedDisk(G8,$A$9,$A$12)</f>
        <v>standardhdd-s10</v>
      </c>
      <c r="K8" s="11">
        <f>getManagedDiskPriceMonth(J8,$A$9,$A$12)</f>
        <v>5.8879999999999999</v>
      </c>
    </row>
    <row r="9" spans="1:11" x14ac:dyDescent="0.35">
      <c r="A9" s="7" t="s">
        <v>0</v>
      </c>
      <c r="C9" s="7" t="s">
        <v>73</v>
      </c>
      <c r="D9" s="7" t="s">
        <v>53</v>
      </c>
      <c r="E9" s="7">
        <v>4</v>
      </c>
      <c r="F9" s="7">
        <v>16</v>
      </c>
      <c r="G9" s="7">
        <v>128</v>
      </c>
      <c r="H9" s="1" t="str">
        <f>getVM(E9,F9,$A$6,$A$9,$A$12)</f>
        <v>linux-b4ms-standard</v>
      </c>
      <c r="I9" s="12">
        <f>getVMPriceHour(H9,$A$6,$A$9,$A$12)*$A$15</f>
        <v>52.779000000000003</v>
      </c>
      <c r="J9" s="1" t="str">
        <f>getManagedDisk(G9,$A$9,$A$12)</f>
        <v>standardhdd-s10</v>
      </c>
      <c r="K9" s="11">
        <f>getManagedDiskPriceMonth(J9,$A$9,$A$12)</f>
        <v>5.8879999999999999</v>
      </c>
    </row>
    <row r="10" spans="1:11" x14ac:dyDescent="0.35">
      <c r="C10" s="7" t="s">
        <v>72</v>
      </c>
      <c r="D10" s="7" t="s">
        <v>53</v>
      </c>
      <c r="E10" s="7">
        <v>4</v>
      </c>
      <c r="F10" s="7">
        <v>16</v>
      </c>
      <c r="G10" s="7">
        <v>256</v>
      </c>
      <c r="H10" s="1" t="str">
        <f>getVM(E10,F10,$A$6,$A$9,$A$12)</f>
        <v>linux-b4ms-standard</v>
      </c>
      <c r="I10" s="12">
        <f>getVMPriceHour(H10,$A$6,$A$9,$A$12)*$A$15</f>
        <v>52.779000000000003</v>
      </c>
      <c r="J10" s="1" t="str">
        <f>getManagedDisk(G10,$A$9,$A$12)</f>
        <v>standardhdd-s15</v>
      </c>
      <c r="K10" s="11">
        <f>getManagedDiskPriceMonth(J10,$A$9,$A$12)</f>
        <v>11.327999999999999</v>
      </c>
    </row>
    <row r="11" spans="1:11" x14ac:dyDescent="0.35">
      <c r="A11" s="2" t="s">
        <v>1</v>
      </c>
      <c r="C11" s="7" t="s">
        <v>71</v>
      </c>
      <c r="D11" s="7" t="s">
        <v>53</v>
      </c>
      <c r="E11" s="7">
        <v>4</v>
      </c>
      <c r="F11" s="7">
        <v>16</v>
      </c>
      <c r="G11" s="7">
        <v>1024</v>
      </c>
      <c r="H11" s="1" t="str">
        <f>getVM(E11,F11,$A$6,$A$9,$A$12)</f>
        <v>linux-b4ms-standard</v>
      </c>
      <c r="I11" s="12">
        <f>getVMPriceHour(H11,$A$6,$A$9,$A$12)*$A$15</f>
        <v>52.779000000000003</v>
      </c>
      <c r="J11" s="1" t="str">
        <f>getManagedDisk(G11,$A$9,$A$12)</f>
        <v>standardhdd-s30</v>
      </c>
      <c r="K11" s="11">
        <f>getManagedDiskPriceMonth(J11,$A$9,$A$12)</f>
        <v>40.96</v>
      </c>
    </row>
    <row r="12" spans="1:11" x14ac:dyDescent="0.35">
      <c r="A12" s="7" t="s">
        <v>5</v>
      </c>
      <c r="C12" s="7" t="s">
        <v>70</v>
      </c>
      <c r="D12" s="7" t="s">
        <v>53</v>
      </c>
      <c r="E12" s="7">
        <v>8</v>
      </c>
      <c r="F12" s="7">
        <v>8</v>
      </c>
      <c r="G12" s="7">
        <v>2048</v>
      </c>
      <c r="H12" s="1" t="str">
        <f>getVM(E12,F12,$A$6,$A$9,$A$12)</f>
        <v>linux-f8sv2-standard</v>
      </c>
      <c r="I12" s="12">
        <f>getVMPriceHour(H12,$A$6,$A$9,$A$12)*$A$15</f>
        <v>102.1927</v>
      </c>
      <c r="J12" s="1" t="str">
        <f>getManagedDisk(G12,$A$9,$A$12)</f>
        <v>standardhdd-s40</v>
      </c>
      <c r="K12" s="11">
        <f>getManagedDiskPriceMonth(J12,$A$9,$A$12)</f>
        <v>81.92</v>
      </c>
    </row>
    <row r="13" spans="1:11" x14ac:dyDescent="0.35">
      <c r="C13" s="7" t="s">
        <v>69</v>
      </c>
      <c r="D13" s="7" t="s">
        <v>53</v>
      </c>
      <c r="E13" s="7">
        <v>8</v>
      </c>
      <c r="F13" s="7">
        <v>16</v>
      </c>
      <c r="G13" s="7">
        <v>1024</v>
      </c>
      <c r="H13" s="1" t="str">
        <f>getVM(E13,F13,$A$6,$A$9,$A$12)</f>
        <v>linux-f8sv2-standard</v>
      </c>
      <c r="I13" s="12">
        <f>getVMPriceHour(H13,$A$6,$A$9,$A$12)*$A$15</f>
        <v>102.1927</v>
      </c>
      <c r="J13" s="1" t="str">
        <f>getManagedDisk(G13,$A$9,$A$12)</f>
        <v>standardhdd-s30</v>
      </c>
      <c r="K13" s="11">
        <f>getManagedDiskPriceMonth(J13,$A$9,$A$12)</f>
        <v>40.96</v>
      </c>
    </row>
    <row r="14" spans="1:11" x14ac:dyDescent="0.35">
      <c r="A14" s="2" t="s">
        <v>68</v>
      </c>
      <c r="C14" s="7" t="s">
        <v>67</v>
      </c>
      <c r="D14" s="7" t="s">
        <v>53</v>
      </c>
      <c r="E14" s="7">
        <v>8</v>
      </c>
      <c r="F14" s="7">
        <v>16</v>
      </c>
      <c r="G14" s="7">
        <v>256</v>
      </c>
      <c r="H14" s="1" t="str">
        <f>getVM(E14,F14,$A$6,$A$9,$A$12)</f>
        <v>linux-f8sv2-standard</v>
      </c>
      <c r="I14" s="12">
        <f>getVMPriceHour(H14,$A$6,$A$9,$A$12)*$A$15</f>
        <v>102.1927</v>
      </c>
      <c r="J14" s="1" t="str">
        <f>getManagedDisk(G14,$A$9,$A$12)</f>
        <v>standardhdd-s15</v>
      </c>
      <c r="K14" s="11">
        <f>getManagedDiskPriceMonth(J14,$A$9,$A$12)</f>
        <v>11.327999999999999</v>
      </c>
    </row>
    <row r="15" spans="1:11" x14ac:dyDescent="0.35">
      <c r="A15" s="7">
        <v>730</v>
      </c>
      <c r="C15" s="7" t="s">
        <v>66</v>
      </c>
      <c r="D15" s="7" t="s">
        <v>53</v>
      </c>
      <c r="E15" s="7">
        <v>8</v>
      </c>
      <c r="F15" s="7">
        <v>16</v>
      </c>
      <c r="G15" s="7">
        <v>128</v>
      </c>
      <c r="H15" s="1" t="str">
        <f>getVM(E15,F15,$A$6,$A$9,$A$12)</f>
        <v>linux-f8sv2-standard</v>
      </c>
      <c r="I15" s="12">
        <f>getVMPriceHour(H15,$A$6,$A$9,$A$12)*$A$15</f>
        <v>102.1927</v>
      </c>
      <c r="J15" s="1" t="str">
        <f>getManagedDisk(G15,$A$9,$A$12)</f>
        <v>standardhdd-s10</v>
      </c>
      <c r="K15" s="11">
        <f>getManagedDiskPriceMonth(J15,$A$9,$A$12)</f>
        <v>5.8879999999999999</v>
      </c>
    </row>
    <row r="16" spans="1:11" x14ac:dyDescent="0.35">
      <c r="C16" s="7" t="s">
        <v>65</v>
      </c>
      <c r="D16" s="7" t="s">
        <v>53</v>
      </c>
      <c r="E16" s="7">
        <v>8</v>
      </c>
      <c r="F16" s="7">
        <v>16</v>
      </c>
      <c r="G16" s="7">
        <v>512</v>
      </c>
      <c r="H16" s="1" t="str">
        <f>getVM(E16,F16,$A$6,$A$9,$A$12)</f>
        <v>linux-f8sv2-standard</v>
      </c>
      <c r="I16" s="12">
        <f>getVMPriceHour(H16,$A$6,$A$9,$A$12)*$A$15</f>
        <v>102.1927</v>
      </c>
      <c r="J16" s="1" t="str">
        <f>getManagedDisk(G16,$A$9,$A$12)</f>
        <v>standardhdd-s20</v>
      </c>
      <c r="K16" s="11">
        <f>getManagedDiskPriceMonth(J16,$A$9,$A$12)</f>
        <v>21.76</v>
      </c>
    </row>
    <row r="17" spans="3:11" x14ac:dyDescent="0.35">
      <c r="C17" s="7" t="s">
        <v>64</v>
      </c>
      <c r="D17" s="7" t="s">
        <v>53</v>
      </c>
      <c r="E17" s="7">
        <v>8</v>
      </c>
      <c r="F17" s="7">
        <v>32</v>
      </c>
      <c r="G17" s="7">
        <v>1024</v>
      </c>
      <c r="H17" s="1" t="str">
        <f>getVM(E17,F17,$A$6,$A$9,$A$12)</f>
        <v>linux-b8ms-standard</v>
      </c>
      <c r="I17" s="12">
        <f>getVMPriceHour(H17,$A$6,$A$9,$A$12)*$A$15</f>
        <v>105.52879999999999</v>
      </c>
      <c r="J17" s="1" t="str">
        <f>getManagedDisk(G17,$A$9,$A$12)</f>
        <v>standardhdd-s30</v>
      </c>
      <c r="K17" s="11">
        <f>getManagedDiskPriceMonth(J17,$A$9,$A$12)</f>
        <v>40.96</v>
      </c>
    </row>
    <row r="18" spans="3:11" x14ac:dyDescent="0.35">
      <c r="C18" s="7" t="s">
        <v>63</v>
      </c>
      <c r="D18" s="7" t="s">
        <v>53</v>
      </c>
      <c r="E18" s="7">
        <v>8</v>
      </c>
      <c r="F18" s="7">
        <v>32</v>
      </c>
      <c r="G18" s="7">
        <v>2048</v>
      </c>
      <c r="H18" s="1" t="str">
        <f>getVM(E18,F18,$A$6,$A$9,$A$12)</f>
        <v>linux-b8ms-standard</v>
      </c>
      <c r="I18" s="12">
        <f>getVMPriceHour(H18,$A$6,$A$9,$A$12)*$A$15</f>
        <v>105.52879999999999</v>
      </c>
      <c r="J18" s="1" t="str">
        <f>getManagedDisk(G18,$A$9,$A$12)</f>
        <v>standardhdd-s40</v>
      </c>
      <c r="K18" s="11">
        <f>getManagedDiskPriceMonth(J18,$A$9,$A$12)</f>
        <v>81.92</v>
      </c>
    </row>
    <row r="19" spans="3:11" x14ac:dyDescent="0.35">
      <c r="C19" s="7" t="s">
        <v>62</v>
      </c>
      <c r="D19" s="7" t="s">
        <v>53</v>
      </c>
      <c r="E19" s="7">
        <v>8</v>
      </c>
      <c r="F19" s="7">
        <v>32</v>
      </c>
      <c r="G19" s="7">
        <v>2048</v>
      </c>
      <c r="H19" s="1" t="str">
        <f>getVM(E19,F19,$A$6,$A$9,$A$12)</f>
        <v>linux-b8ms-standard</v>
      </c>
      <c r="I19" s="12">
        <f>getVMPriceHour(H19,$A$6,$A$9,$A$12)*$A$15</f>
        <v>105.52879999999999</v>
      </c>
      <c r="J19" s="1" t="str">
        <f>getManagedDisk(G19,$A$9,$A$12)</f>
        <v>standardhdd-s40</v>
      </c>
      <c r="K19" s="11">
        <f>getManagedDiskPriceMonth(J19,$A$9,$A$12)</f>
        <v>81.92</v>
      </c>
    </row>
    <row r="20" spans="3:11" x14ac:dyDescent="0.35">
      <c r="C20" s="7" t="s">
        <v>61</v>
      </c>
      <c r="D20" s="7" t="s">
        <v>53</v>
      </c>
      <c r="E20" s="7">
        <v>16</v>
      </c>
      <c r="F20" s="7">
        <v>32</v>
      </c>
      <c r="G20" s="7">
        <v>4096</v>
      </c>
      <c r="H20" s="1" t="str">
        <f>getVM(E20,F20,$A$6,$A$9,$A$12)</f>
        <v>linux-f16sv2-standard</v>
      </c>
      <c r="I20" s="12">
        <f>getVMPriceHour(H20,$A$6,$A$9,$A$12)*$A$15</f>
        <v>204.3854</v>
      </c>
      <c r="J20" s="1" t="str">
        <f>getManagedDisk(G20,$A$9,$A$12)</f>
        <v>standardhdd-s50</v>
      </c>
      <c r="K20" s="11">
        <f>getManagedDiskPriceMonth(J20,$A$9,$A$12)</f>
        <v>163.84</v>
      </c>
    </row>
    <row r="21" spans="3:11" x14ac:dyDescent="0.35">
      <c r="C21" s="7" t="s">
        <v>60</v>
      </c>
      <c r="D21" s="7" t="s">
        <v>53</v>
      </c>
      <c r="E21" s="7">
        <v>16</v>
      </c>
      <c r="F21" s="7">
        <v>64</v>
      </c>
      <c r="G21" s="7">
        <v>2048</v>
      </c>
      <c r="H21" s="1" t="str">
        <f>getVM(E21,F21,$A$6,$A$9,$A$12)</f>
        <v>linux-d16v3-standard</v>
      </c>
      <c r="I21" s="12">
        <f>getVMPriceHour(H21,$A$6,$A$9,$A$12)*$A$15</f>
        <v>307.41759999999999</v>
      </c>
      <c r="J21" s="1" t="str">
        <f>getManagedDisk(G21,$A$9,$A$12)</f>
        <v>standardhdd-s40</v>
      </c>
      <c r="K21" s="11">
        <f>getManagedDiskPriceMonth(J21,$A$9,$A$12)</f>
        <v>81.92</v>
      </c>
    </row>
    <row r="22" spans="3:11" x14ac:dyDescent="0.35">
      <c r="C22" s="7" t="s">
        <v>59</v>
      </c>
      <c r="D22" s="7" t="s">
        <v>53</v>
      </c>
      <c r="E22" s="7">
        <v>16</v>
      </c>
      <c r="F22" s="7">
        <v>64</v>
      </c>
      <c r="G22" s="7">
        <v>1024</v>
      </c>
      <c r="H22" s="1" t="str">
        <f>getVM(E22,F22,$A$6,$A$9,$A$12)</f>
        <v>linux-d16v3-standard</v>
      </c>
      <c r="I22" s="12">
        <f>getVMPriceHour(H22,$A$6,$A$9,$A$12)*$A$15</f>
        <v>307.41759999999999</v>
      </c>
      <c r="J22" s="1" t="str">
        <f>getManagedDisk(G22,$A$9,$A$12)</f>
        <v>standardhdd-s30</v>
      </c>
      <c r="K22" s="11">
        <f>getManagedDiskPriceMonth(J22,$A$9,$A$12)</f>
        <v>40.96</v>
      </c>
    </row>
    <row r="23" spans="3:11" x14ac:dyDescent="0.35">
      <c r="C23" s="7" t="s">
        <v>58</v>
      </c>
      <c r="D23" s="7" t="s">
        <v>53</v>
      </c>
      <c r="E23" s="7">
        <v>16</v>
      </c>
      <c r="F23" s="7">
        <v>64</v>
      </c>
      <c r="G23" s="7">
        <v>1024</v>
      </c>
      <c r="H23" s="1" t="str">
        <f>getVM(E23,F23,$A$6,$A$9,$A$12)</f>
        <v>linux-d16v3-standard</v>
      </c>
      <c r="I23" s="12">
        <f>getVMPriceHour(H23,$A$6,$A$9,$A$12)*$A$15</f>
        <v>307.41759999999999</v>
      </c>
      <c r="J23" s="1" t="str">
        <f>getManagedDisk(G23,$A$9,$A$12)</f>
        <v>standardhdd-s30</v>
      </c>
      <c r="K23" s="11">
        <f>getManagedDiskPriceMonth(J23,$A$9,$A$12)</f>
        <v>40.96</v>
      </c>
    </row>
    <row r="24" spans="3:11" x14ac:dyDescent="0.35">
      <c r="C24" s="7" t="s">
        <v>57</v>
      </c>
      <c r="D24" s="7" t="s">
        <v>53</v>
      </c>
      <c r="E24" s="7">
        <v>16</v>
      </c>
      <c r="F24" s="7">
        <v>128</v>
      </c>
      <c r="G24" s="7">
        <v>2048</v>
      </c>
      <c r="H24" s="1" t="str">
        <f>getVM(E24,F24,$A$6,$A$9,$A$12)</f>
        <v>linux-e16v3-standard</v>
      </c>
      <c r="I24" s="12">
        <f>getVMPriceHour(H24,$A$6,$A$9,$A$12)*$A$15</f>
        <v>351.44390000000004</v>
      </c>
      <c r="J24" s="1" t="str">
        <f>getManagedDisk(G24,$A$9,$A$12)</f>
        <v>standardhdd-s40</v>
      </c>
      <c r="K24" s="11">
        <f>getManagedDiskPriceMonth(J24,$A$9,$A$12)</f>
        <v>81.92</v>
      </c>
    </row>
    <row r="25" spans="3:11" x14ac:dyDescent="0.35">
      <c r="C25" s="7" t="s">
        <v>56</v>
      </c>
      <c r="D25" s="7" t="s">
        <v>53</v>
      </c>
      <c r="E25" s="7">
        <v>32</v>
      </c>
      <c r="F25" s="7">
        <v>32</v>
      </c>
      <c r="G25" s="7">
        <v>8192</v>
      </c>
      <c r="H25" s="1" t="str">
        <f>getVM(E25,F25,$A$6,$A$9,$A$12)</f>
        <v>linux-f32sv2-standard</v>
      </c>
      <c r="I25" s="12">
        <f>getVMPriceHour(H25,$A$6,$A$9,$A$12)*$A$15</f>
        <v>408.77809999999999</v>
      </c>
      <c r="J25" s="1" t="str">
        <f>getManagedDisk(G25,$A$9,$A$12)</f>
        <v>standardhdd-s60</v>
      </c>
      <c r="K25" s="11">
        <f>getManagedDiskPriceMonth(J25,$A$9,$A$12)</f>
        <v>327.68</v>
      </c>
    </row>
    <row r="26" spans="3:11" x14ac:dyDescent="0.35">
      <c r="C26" s="7" t="s">
        <v>55</v>
      </c>
      <c r="D26" s="7" t="s">
        <v>53</v>
      </c>
      <c r="E26" s="7">
        <v>64</v>
      </c>
      <c r="F26" s="7">
        <v>128</v>
      </c>
      <c r="G26" s="7">
        <v>4096</v>
      </c>
      <c r="H26" s="1" t="str">
        <f>getVM(E26,F26,$A$6,$A$9,$A$12)</f>
        <v>linux-f64sv2-standard</v>
      </c>
      <c r="I26" s="12">
        <f>getVMPriceHour(H26,$A$6,$A$9,$A$12)*$A$15</f>
        <v>817.55619999999999</v>
      </c>
      <c r="J26" s="1" t="str">
        <f>getManagedDisk(G26,$A$9,$A$12)</f>
        <v>standardhdd-s50</v>
      </c>
      <c r="K26" s="11">
        <f>getManagedDiskPriceMonth(J26,$A$9,$A$12)</f>
        <v>163.84</v>
      </c>
    </row>
    <row r="27" spans="3:11" x14ac:dyDescent="0.35">
      <c r="C27" s="7" t="s">
        <v>54</v>
      </c>
      <c r="D27" s="7" t="s">
        <v>53</v>
      </c>
      <c r="E27" s="7">
        <v>128</v>
      </c>
      <c r="F27" s="7">
        <v>128</v>
      </c>
      <c r="G27" s="7">
        <v>16384</v>
      </c>
      <c r="H27" s="1" t="str">
        <f>getVM(E27,F27,$A$6,$A$9,$A$12)</f>
        <v>linux-m128-standard</v>
      </c>
      <c r="I27" s="12">
        <f>getVMPriceHour(H27,$A$6,$A$9,$A$12)*$A$15</f>
        <v>3803.4168</v>
      </c>
      <c r="J27" s="1" t="str">
        <f>getManagedDisk(G27,$A$9,$A$12)</f>
        <v>standardhdd-s70</v>
      </c>
      <c r="K27" s="11">
        <f>getManagedDiskPriceMonth(J27,$A$9,$A$12)</f>
        <v>655.36</v>
      </c>
    </row>
    <row r="28" spans="3:11" x14ac:dyDescent="0.35">
      <c r="C28" s="7" t="s">
        <v>52</v>
      </c>
      <c r="D28" s="7" t="s">
        <v>37</v>
      </c>
      <c r="E28" s="7">
        <v>2</v>
      </c>
      <c r="F28" s="7">
        <v>4</v>
      </c>
      <c r="G28" s="7">
        <v>32</v>
      </c>
      <c r="H28" s="1" t="str">
        <f>getVM(E28,F28,$A$6,$A$9,$A$12)</f>
        <v>linux-b2s-standard</v>
      </c>
      <c r="I28" s="12">
        <f>getVMPriceHour(H28,$A$6,$A$9,$A$12)*$A$15</f>
        <v>13.191099999999999</v>
      </c>
      <c r="J28" s="1" t="str">
        <f>getManagedDisk(G28,$A$9,$A$12)</f>
        <v>standardhdd-s4</v>
      </c>
      <c r="K28" s="11">
        <f>getManagedDiskPriceMonth(J28,$A$9,$A$12)</f>
        <v>1.536</v>
      </c>
    </row>
    <row r="29" spans="3:11" x14ac:dyDescent="0.35">
      <c r="C29" s="7" t="s">
        <v>51</v>
      </c>
      <c r="D29" s="7" t="s">
        <v>37</v>
      </c>
      <c r="E29" s="7">
        <v>2</v>
      </c>
      <c r="F29" s="7">
        <v>4</v>
      </c>
      <c r="G29" s="7">
        <v>256</v>
      </c>
      <c r="H29" s="1" t="str">
        <f>getVM(E29,F29,$A$6,$A$9,$A$12)</f>
        <v>linux-b2s-standard</v>
      </c>
      <c r="I29" s="12">
        <f>getVMPriceHour(H29,$A$6,$A$9,$A$12)*$A$15</f>
        <v>13.191099999999999</v>
      </c>
      <c r="J29" s="1" t="str">
        <f>getManagedDisk(G29,$A$9,$A$12)</f>
        <v>standardhdd-s15</v>
      </c>
      <c r="K29" s="11">
        <f>getManagedDiskPriceMonth(J29,$A$9,$A$12)</f>
        <v>11.327999999999999</v>
      </c>
    </row>
    <row r="30" spans="3:11" x14ac:dyDescent="0.35">
      <c r="C30" s="7" t="s">
        <v>50</v>
      </c>
      <c r="D30" s="7" t="s">
        <v>37</v>
      </c>
      <c r="E30" s="7">
        <v>2</v>
      </c>
      <c r="F30" s="7">
        <v>6</v>
      </c>
      <c r="G30" s="7">
        <v>32</v>
      </c>
      <c r="H30" s="1" t="str">
        <f>getVM(E30,F30,$A$6,$A$9,$A$12)</f>
        <v>linux-b2ms-standard</v>
      </c>
      <c r="I30" s="12">
        <f>getVMPriceHour(H30,$A$6,$A$9,$A$12)*$A$15</f>
        <v>26.389500000000002</v>
      </c>
      <c r="J30" s="1" t="str">
        <f>getManagedDisk(G30,$A$9,$A$12)</f>
        <v>standardhdd-s4</v>
      </c>
      <c r="K30" s="11">
        <f>getManagedDiskPriceMonth(J30,$A$9,$A$12)</f>
        <v>1.536</v>
      </c>
    </row>
    <row r="31" spans="3:11" x14ac:dyDescent="0.35">
      <c r="C31" s="7" t="s">
        <v>49</v>
      </c>
      <c r="D31" s="7" t="s">
        <v>37</v>
      </c>
      <c r="E31" s="7">
        <v>2</v>
      </c>
      <c r="F31" s="7">
        <v>6</v>
      </c>
      <c r="G31" s="7">
        <v>512</v>
      </c>
      <c r="H31" s="1" t="str">
        <f>getVM(E31,F31,$A$6,$A$9,$A$12)</f>
        <v>linux-b2ms-standard</v>
      </c>
      <c r="I31" s="12">
        <f>getVMPriceHour(H31,$A$6,$A$9,$A$12)*$A$15</f>
        <v>26.389500000000002</v>
      </c>
      <c r="J31" s="1" t="str">
        <f>getManagedDisk(G31,$A$9,$A$12)</f>
        <v>standardhdd-s20</v>
      </c>
      <c r="K31" s="11">
        <f>getManagedDiskPriceMonth(J31,$A$9,$A$12)</f>
        <v>21.76</v>
      </c>
    </row>
    <row r="32" spans="3:11" x14ac:dyDescent="0.35">
      <c r="C32" s="7" t="s">
        <v>48</v>
      </c>
      <c r="D32" s="7" t="s">
        <v>37</v>
      </c>
      <c r="E32" s="7">
        <v>4</v>
      </c>
      <c r="F32" s="7">
        <v>4</v>
      </c>
      <c r="G32" s="7">
        <v>256</v>
      </c>
      <c r="H32" s="1" t="str">
        <f>getVM(E32,F32,$A$6,$A$9,$A$12)</f>
        <v>linux-f4sv2-standard</v>
      </c>
      <c r="I32" s="12">
        <f>getVMPriceHour(H32,$A$6,$A$9,$A$12)*$A$15</f>
        <v>51.114599999999996</v>
      </c>
      <c r="J32" s="1" t="str">
        <f>getManagedDisk(G32,$A$9,$A$12)</f>
        <v>standardhdd-s15</v>
      </c>
      <c r="K32" s="11">
        <f>getManagedDiskPriceMonth(J32,$A$9,$A$12)</f>
        <v>11.327999999999999</v>
      </c>
    </row>
    <row r="33" spans="3:14" x14ac:dyDescent="0.35">
      <c r="C33" s="7" t="s">
        <v>47</v>
      </c>
      <c r="D33" s="7" t="s">
        <v>37</v>
      </c>
      <c r="E33" s="7">
        <v>4</v>
      </c>
      <c r="F33" s="7">
        <v>4</v>
      </c>
      <c r="G33" s="7">
        <v>256</v>
      </c>
      <c r="H33" s="1" t="str">
        <f>getVM(E33,F33,$A$6,$A$9,$A$12)</f>
        <v>linux-f4sv2-standard</v>
      </c>
      <c r="I33" s="12">
        <f>getVMPriceHour(H33,$A$6,$A$9,$A$12)*$A$15</f>
        <v>51.114599999999996</v>
      </c>
      <c r="J33" s="1" t="str">
        <f>getManagedDisk(G33,$A$9,$A$12)</f>
        <v>standardhdd-s15</v>
      </c>
      <c r="K33" s="11">
        <f>getManagedDiskPriceMonth(J33,$A$9,$A$12)</f>
        <v>11.327999999999999</v>
      </c>
    </row>
    <row r="34" spans="3:14" x14ac:dyDescent="0.35">
      <c r="C34" s="7" t="s">
        <v>46</v>
      </c>
      <c r="D34" s="7" t="s">
        <v>37</v>
      </c>
      <c r="E34" s="7">
        <v>4</v>
      </c>
      <c r="F34" s="7">
        <v>8</v>
      </c>
      <c r="G34" s="7">
        <v>512</v>
      </c>
      <c r="H34" s="1" t="str">
        <f>getVM(E34,F34,$A$6,$A$9,$A$12)</f>
        <v>linux-f4sv2-standard</v>
      </c>
      <c r="I34" s="12">
        <f>getVMPriceHour(H34,$A$6,$A$9,$A$12)*$A$15</f>
        <v>51.114599999999996</v>
      </c>
      <c r="J34" s="1" t="str">
        <f>getManagedDisk(G34,$A$9,$A$12)</f>
        <v>standardhdd-s20</v>
      </c>
      <c r="K34" s="11">
        <f>getManagedDiskPriceMonth(J34,$A$9,$A$12)</f>
        <v>21.76</v>
      </c>
    </row>
    <row r="35" spans="3:14" x14ac:dyDescent="0.35">
      <c r="C35" s="7" t="s">
        <v>45</v>
      </c>
      <c r="D35" s="7" t="s">
        <v>37</v>
      </c>
      <c r="E35" s="7">
        <v>4</v>
      </c>
      <c r="F35" s="7">
        <v>8</v>
      </c>
      <c r="G35" s="7">
        <v>128</v>
      </c>
      <c r="H35" s="1" t="str">
        <f>getVM(E35,F35,$A$6,$A$9,$A$12)</f>
        <v>linux-f4sv2-standard</v>
      </c>
      <c r="I35" s="12">
        <f>getVMPriceHour(H35,$A$6,$A$9,$A$12)*$A$15</f>
        <v>51.114599999999996</v>
      </c>
      <c r="J35" s="1" t="str">
        <f>getManagedDisk(G35,$A$9,$A$12)</f>
        <v>standardhdd-s10</v>
      </c>
      <c r="K35" s="11">
        <f>getManagedDiskPriceMonth(J35,$A$9,$A$12)</f>
        <v>5.8879999999999999</v>
      </c>
    </row>
    <row r="36" spans="3:14" x14ac:dyDescent="0.35">
      <c r="C36" s="7" t="s">
        <v>44</v>
      </c>
      <c r="D36" s="7" t="s">
        <v>37</v>
      </c>
      <c r="E36" s="7">
        <v>4</v>
      </c>
      <c r="F36" s="7">
        <v>4</v>
      </c>
      <c r="G36" s="7">
        <v>256</v>
      </c>
      <c r="H36" s="1" t="str">
        <f>getVM(E36,F36,$A$6,$A$9,$A$12)</f>
        <v>linux-f4sv2-standard</v>
      </c>
      <c r="I36" s="12">
        <f>getVMPriceHour(H36,$A$6,$A$9,$A$12)*$A$15</f>
        <v>51.114599999999996</v>
      </c>
      <c r="J36" s="1" t="str">
        <f>getManagedDisk(G36,$A$9,$A$12)</f>
        <v>standardhdd-s15</v>
      </c>
      <c r="K36" s="11">
        <f>getManagedDiskPriceMonth(J36,$A$9,$A$12)</f>
        <v>11.327999999999999</v>
      </c>
    </row>
    <row r="37" spans="3:14" x14ac:dyDescent="0.35">
      <c r="C37" s="7" t="s">
        <v>43</v>
      </c>
      <c r="D37" s="7" t="s">
        <v>37</v>
      </c>
      <c r="E37" s="7">
        <v>8</v>
      </c>
      <c r="F37" s="7">
        <v>16</v>
      </c>
      <c r="G37" s="7">
        <v>256</v>
      </c>
      <c r="H37" s="1" t="str">
        <f>getVM(E37,F37,$A$6,$A$9,$A$12)</f>
        <v>linux-f8sv2-standard</v>
      </c>
      <c r="I37" s="12">
        <f>getVMPriceHour(H37,$A$6,$A$9,$A$12)*$A$15</f>
        <v>102.1927</v>
      </c>
      <c r="J37" s="1" t="str">
        <f>getManagedDisk(G37,$A$9,$A$12)</f>
        <v>standardhdd-s15</v>
      </c>
      <c r="K37" s="11">
        <f>getManagedDiskPriceMonth(J37,$A$9,$A$12)</f>
        <v>11.327999999999999</v>
      </c>
    </row>
    <row r="38" spans="3:14" x14ac:dyDescent="0.35">
      <c r="C38" s="7" t="s">
        <v>42</v>
      </c>
      <c r="D38" s="7" t="s">
        <v>37</v>
      </c>
      <c r="E38" s="7">
        <v>8</v>
      </c>
      <c r="F38" s="7">
        <v>16</v>
      </c>
      <c r="G38" s="7">
        <v>128</v>
      </c>
      <c r="H38" s="1" t="str">
        <f>getVM(E38,F38,$A$6,$A$9,$A$12)</f>
        <v>linux-f8sv2-standard</v>
      </c>
      <c r="I38" s="12">
        <f>getVMPriceHour(H38,$A$6,$A$9,$A$12)*$A$15</f>
        <v>102.1927</v>
      </c>
      <c r="J38" s="1" t="str">
        <f>getManagedDisk(G38,$A$9,$A$12)</f>
        <v>standardhdd-s10</v>
      </c>
      <c r="K38" s="11">
        <f>getManagedDiskPriceMonth(J38,$A$9,$A$12)</f>
        <v>5.8879999999999999</v>
      </c>
    </row>
    <row r="39" spans="3:14" x14ac:dyDescent="0.35">
      <c r="C39" s="7" t="s">
        <v>41</v>
      </c>
      <c r="D39" s="7" t="s">
        <v>37</v>
      </c>
      <c r="E39" s="7">
        <v>16</v>
      </c>
      <c r="F39" s="7">
        <v>16</v>
      </c>
      <c r="G39" s="7">
        <v>512</v>
      </c>
      <c r="H39" s="1" t="str">
        <f>getVM(E39,F39,$A$6,$A$9,$A$12)</f>
        <v>linux-f16sv2-standard</v>
      </c>
      <c r="I39" s="12">
        <f>getVMPriceHour(H39,$A$6,$A$9,$A$12)*$A$15</f>
        <v>204.3854</v>
      </c>
      <c r="J39" s="1" t="str">
        <f>getManagedDisk(G39,$A$9,$A$12)</f>
        <v>standardhdd-s20</v>
      </c>
      <c r="K39" s="11">
        <f>getManagedDiskPriceMonth(J39,$A$9,$A$12)</f>
        <v>21.76</v>
      </c>
    </row>
    <row r="40" spans="3:14" x14ac:dyDescent="0.35">
      <c r="C40" s="7" t="s">
        <v>40</v>
      </c>
      <c r="D40" s="7" t="s">
        <v>37</v>
      </c>
      <c r="E40" s="7">
        <v>16</v>
      </c>
      <c r="F40" s="7">
        <v>16</v>
      </c>
      <c r="G40" s="7">
        <v>2048</v>
      </c>
      <c r="H40" s="1" t="str">
        <f>getVM(E40,F40,$A$6,$A$9,$A$12)</f>
        <v>linux-f16sv2-standard</v>
      </c>
      <c r="I40" s="12">
        <f>getVMPriceHour(H40,$A$6,$A$9,$A$12)*$A$15</f>
        <v>204.3854</v>
      </c>
      <c r="J40" s="1" t="str">
        <f>getManagedDisk(G40,$A$9,$A$12)</f>
        <v>standardhdd-s40</v>
      </c>
      <c r="K40" s="11">
        <f>getManagedDiskPriceMonth(J40,$A$9,$A$12)</f>
        <v>81.92</v>
      </c>
    </row>
    <row r="41" spans="3:14" x14ac:dyDescent="0.35">
      <c r="C41" s="7" t="s">
        <v>39</v>
      </c>
      <c r="D41" s="7" t="s">
        <v>37</v>
      </c>
      <c r="E41" s="7">
        <v>32</v>
      </c>
      <c r="F41" s="7">
        <v>128</v>
      </c>
      <c r="G41" s="7">
        <v>512</v>
      </c>
      <c r="H41" s="1" t="str">
        <f>getVM(E41,F41,$A$6,$A$9,$A$12)</f>
        <v>linux-d32v3-standard</v>
      </c>
      <c r="I41" s="12">
        <f>getVMPriceHour(H41,$A$6,$A$9,$A$12)*$A$15</f>
        <v>614.83519999999999</v>
      </c>
      <c r="J41" s="1" t="str">
        <f>getManagedDisk(G41,$A$9,$A$12)</f>
        <v>standardhdd-s20</v>
      </c>
      <c r="K41" s="11">
        <f>getManagedDiskPriceMonth(J41,$A$9,$A$12)</f>
        <v>21.76</v>
      </c>
    </row>
    <row r="42" spans="3:14" x14ac:dyDescent="0.35">
      <c r="C42" s="7" t="s">
        <v>38</v>
      </c>
      <c r="D42" s="7" t="s">
        <v>37</v>
      </c>
      <c r="E42" s="7">
        <v>64</v>
      </c>
      <c r="F42" s="7">
        <v>128</v>
      </c>
      <c r="G42" s="7">
        <v>2048</v>
      </c>
      <c r="H42" s="1" t="str">
        <f>getVM(E42,F42,$A$6,$A$9,$A$12)</f>
        <v>linux-f64sv2-standard</v>
      </c>
      <c r="I42" s="12">
        <f>getVMPriceHour(H42,$A$6,$A$9,$A$12)*$A$15</f>
        <v>817.55619999999999</v>
      </c>
      <c r="J42" s="1" t="str">
        <f>getManagedDisk(G42,$A$9,$A$12)</f>
        <v>standardhdd-s40</v>
      </c>
      <c r="K42" s="11">
        <f>getManagedDiskPriceMonth(J42,$A$9,$A$12)</f>
        <v>81.92</v>
      </c>
    </row>
    <row r="43" spans="3:14" x14ac:dyDescent="0.35">
      <c r="N43" s="2" t="s">
        <v>36</v>
      </c>
    </row>
    <row r="44" spans="3:14" x14ac:dyDescent="0.35">
      <c r="C44" s="7" t="s">
        <v>36</v>
      </c>
      <c r="I44" s="10">
        <f>SUM(I2:I42)</f>
        <v>10093.308499999999</v>
      </c>
      <c r="K44" s="10">
        <f>SUM(K2:K42)</f>
        <v>2345.6640000000007</v>
      </c>
      <c r="N44" s="9">
        <f>SUM(C44:K44)</f>
        <v>12438.9725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FAB0D-D6CA-4F2B-B7F5-A741A8DE5D85}">
  <sheetPr codeName="Sheet2"/>
  <dimension ref="A1:O44"/>
  <sheetViews>
    <sheetView workbookViewId="0">
      <selection activeCell="B35" sqref="B35"/>
    </sheetView>
  </sheetViews>
  <sheetFormatPr defaultRowHeight="14.5" x14ac:dyDescent="0.35"/>
  <cols>
    <col min="1" max="2" width="8.7265625" style="7"/>
    <col min="3" max="3" width="12.90625" style="7" customWidth="1"/>
    <col min="4" max="5" width="11.90625" style="7" customWidth="1"/>
    <col min="6" max="6" width="8.7265625" style="7"/>
    <col min="7" max="7" width="13.08984375" style="7" customWidth="1"/>
    <col min="8" max="8" width="15.26953125" style="7" customWidth="1"/>
    <col min="9" max="9" width="19.36328125" style="7" customWidth="1"/>
    <col min="10" max="10" width="15" style="7" bestFit="1" customWidth="1"/>
    <col min="11" max="11" width="15.08984375" style="7" bestFit="1" customWidth="1"/>
    <col min="12" max="12" width="15.6328125" style="7" bestFit="1" customWidth="1"/>
    <col min="13" max="14" width="8.7265625" style="7"/>
    <col min="15" max="15" width="10.90625" style="7" bestFit="1" customWidth="1"/>
    <col min="16" max="16384" width="8.7265625" style="7"/>
  </cols>
  <sheetData>
    <row r="1" spans="1:12" x14ac:dyDescent="0.35">
      <c r="C1" s="13" t="s">
        <v>89</v>
      </c>
      <c r="D1" s="13" t="s">
        <v>88</v>
      </c>
      <c r="E1" s="13" t="s">
        <v>98</v>
      </c>
      <c r="F1" s="13" t="s">
        <v>87</v>
      </c>
      <c r="G1" s="13" t="s">
        <v>86</v>
      </c>
      <c r="H1" s="13" t="s">
        <v>85</v>
      </c>
      <c r="I1" s="13" t="s">
        <v>84</v>
      </c>
      <c r="J1" s="13" t="s">
        <v>83</v>
      </c>
      <c r="K1" s="13" t="s">
        <v>82</v>
      </c>
      <c r="L1" s="13" t="s">
        <v>81</v>
      </c>
    </row>
    <row r="2" spans="1:12" x14ac:dyDescent="0.35">
      <c r="C2" s="7" t="s">
        <v>80</v>
      </c>
      <c r="D2" s="7" t="s">
        <v>53</v>
      </c>
      <c r="E2" s="7" t="str">
        <f>IF(D2="Frankfurt",$A$18,$A$21)</f>
        <v>europe-west</v>
      </c>
      <c r="F2" s="7">
        <v>2</v>
      </c>
      <c r="G2" s="7">
        <v>2</v>
      </c>
      <c r="H2" s="7">
        <v>32</v>
      </c>
      <c r="I2" s="1" t="str">
        <f>getVM(F2,G2,$A$6,E2,$A$12,$A$24,$A$27)</f>
        <v>windows-a2v2-standard</v>
      </c>
      <c r="J2" s="12">
        <f>getVMPriceHour(I2,$A$6,E2,$A$12)*$A$15</f>
        <v>94.9</v>
      </c>
      <c r="K2" s="1" t="str">
        <f>getManagedDisk(H2,E2,$A$12,,$A$30)</f>
        <v>standardssd-e4</v>
      </c>
      <c r="L2" s="11">
        <f>getManagedDiskPriceMonth(K2,E2,$A$12)</f>
        <v>2.4</v>
      </c>
    </row>
    <row r="3" spans="1:12" x14ac:dyDescent="0.35">
      <c r="C3" s="7" t="s">
        <v>79</v>
      </c>
      <c r="D3" s="7" t="s">
        <v>53</v>
      </c>
      <c r="E3" s="7" t="str">
        <f>IF(D3="Frankfurt",$A$18,$A$21)</f>
        <v>europe-west</v>
      </c>
      <c r="F3" s="7">
        <v>2</v>
      </c>
      <c r="G3" s="7">
        <v>4</v>
      </c>
      <c r="H3" s="7">
        <v>64</v>
      </c>
      <c r="I3" s="1" t="str">
        <f>getVM(F3,G3,$A$6,E3,$A$12,$A$24,$A$27)</f>
        <v>windows-a2v2-standard</v>
      </c>
      <c r="J3" s="12">
        <f>getVMPriceHour(I3,$A$6,E3,$A$12)*$A$15</f>
        <v>94.9</v>
      </c>
      <c r="K3" s="1" t="str">
        <f>getManagedDisk(H3,E3,$A$12,,$A$30)</f>
        <v>standardssd-e6</v>
      </c>
      <c r="L3" s="11">
        <f>getManagedDiskPriceMonth(K3,E3,$A$12)</f>
        <v>4.8</v>
      </c>
    </row>
    <row r="4" spans="1:12" x14ac:dyDescent="0.35">
      <c r="C4" s="7" t="s">
        <v>78</v>
      </c>
      <c r="D4" s="7" t="s">
        <v>53</v>
      </c>
      <c r="E4" s="7" t="str">
        <f>IF(D4="Frankfurt",$A$18,$A$21)</f>
        <v>europe-west</v>
      </c>
      <c r="F4" s="7">
        <v>2</v>
      </c>
      <c r="G4" s="7">
        <v>4</v>
      </c>
      <c r="H4" s="7">
        <v>256</v>
      </c>
      <c r="I4" s="1" t="str">
        <f>getVM(F4,G4,$A$6,E4,$A$12,$A$24,$A$27)</f>
        <v>windows-a2v2-standard</v>
      </c>
      <c r="J4" s="12">
        <f>getVMPriceHour(I4,$A$6,E4,$A$12)*$A$15</f>
        <v>94.9</v>
      </c>
      <c r="K4" s="1" t="str">
        <f>getManagedDisk(H4,E4,$A$12,,$A$30)</f>
        <v>standardssd-e15</v>
      </c>
      <c r="L4" s="11">
        <f>getManagedDiskPriceMonth(K4,E4,$A$12)</f>
        <v>19.2</v>
      </c>
    </row>
    <row r="5" spans="1:12" x14ac:dyDescent="0.35">
      <c r="A5" s="2" t="s">
        <v>4</v>
      </c>
      <c r="C5" s="7" t="s">
        <v>77</v>
      </c>
      <c r="D5" s="7" t="s">
        <v>53</v>
      </c>
      <c r="E5" s="7" t="str">
        <f>IF(D5="Frankfurt",$A$18,$A$21)</f>
        <v>europe-west</v>
      </c>
      <c r="F5" s="7">
        <v>2</v>
      </c>
      <c r="G5" s="7">
        <v>6</v>
      </c>
      <c r="H5" s="7">
        <v>256</v>
      </c>
      <c r="I5" s="1" t="str">
        <f>getVM(F5,G5,$A$6,E5,$A$12,$A$24,$A$27)</f>
        <v>windows-a2mv2-standard</v>
      </c>
      <c r="J5" s="12">
        <f>getVMPriceHour(I5,$A$6,E5,$A$12)*$A$15</f>
        <v>137.24</v>
      </c>
      <c r="K5" s="1" t="str">
        <f>getManagedDisk(H5,E5,$A$12,,$A$30)</f>
        <v>standardssd-e15</v>
      </c>
      <c r="L5" s="11">
        <f>getManagedDiskPriceMonth(K5,E5,$A$12)</f>
        <v>19.2</v>
      </c>
    </row>
    <row r="6" spans="1:12" x14ac:dyDescent="0.35">
      <c r="A6" s="7">
        <v>0</v>
      </c>
      <c r="C6" s="7" t="s">
        <v>76</v>
      </c>
      <c r="D6" s="7" t="s">
        <v>53</v>
      </c>
      <c r="E6" s="7" t="str">
        <f>IF(D6="Frankfurt",$A$18,$A$21)</f>
        <v>europe-west</v>
      </c>
      <c r="F6" s="7">
        <v>4</v>
      </c>
      <c r="G6" s="7">
        <v>6</v>
      </c>
      <c r="H6" s="7">
        <v>128</v>
      </c>
      <c r="I6" s="1" t="str">
        <f>getVM(F6,G6,$A$6,E6,$A$12,$A$24,$A$27)</f>
        <v>windows-a4v2-standard</v>
      </c>
      <c r="J6" s="12">
        <f>getVMPriceHour(I6,$A$6,E6,$A$12)*$A$15</f>
        <v>200.02</v>
      </c>
      <c r="K6" s="1" t="str">
        <f>getManagedDisk(H6,E6,$A$12,,$A$30)</f>
        <v>standardssd-e10</v>
      </c>
      <c r="L6" s="11">
        <f>getManagedDiskPriceMonth(K6,E6,$A$12)</f>
        <v>9.6</v>
      </c>
    </row>
    <row r="7" spans="1:12" x14ac:dyDescent="0.35">
      <c r="C7" s="7" t="s">
        <v>75</v>
      </c>
      <c r="D7" s="7" t="s">
        <v>53</v>
      </c>
      <c r="E7" s="7" t="str">
        <f>IF(D7="Frankfurt",$A$18,$A$21)</f>
        <v>europe-west</v>
      </c>
      <c r="F7" s="7">
        <v>4</v>
      </c>
      <c r="G7" s="7">
        <v>8</v>
      </c>
      <c r="H7" s="7">
        <v>64</v>
      </c>
      <c r="I7" s="1" t="str">
        <f>getVM(F7,G7,$A$6,E7,$A$12,$A$24,$A$27)</f>
        <v>windows-a4v2-standard</v>
      </c>
      <c r="J7" s="12">
        <f>getVMPriceHour(I7,$A$6,E7,$A$12)*$A$15</f>
        <v>200.02</v>
      </c>
      <c r="K7" s="1" t="str">
        <f>getManagedDisk(H7,E7,$A$12,,$A$30)</f>
        <v>standardssd-e6</v>
      </c>
      <c r="L7" s="11">
        <f>getManagedDiskPriceMonth(K7,E7,$A$12)</f>
        <v>4.8</v>
      </c>
    </row>
    <row r="8" spans="1:12" x14ac:dyDescent="0.35">
      <c r="A8" s="2"/>
      <c r="C8" s="7" t="s">
        <v>74</v>
      </c>
      <c r="D8" s="7" t="s">
        <v>53</v>
      </c>
      <c r="E8" s="7" t="str">
        <f>IF(D8="Frankfurt",$A$18,$A$21)</f>
        <v>europe-west</v>
      </c>
      <c r="F8" s="7">
        <v>4</v>
      </c>
      <c r="G8" s="7">
        <v>8</v>
      </c>
      <c r="H8" s="7">
        <v>128</v>
      </c>
      <c r="I8" s="1" t="str">
        <f>getVM(F8,G8,$A$6,E8,$A$12,$A$24,$A$27)</f>
        <v>windows-a4v2-standard</v>
      </c>
      <c r="J8" s="12">
        <f>getVMPriceHour(I8,$A$6,E8,$A$12)*$A$15</f>
        <v>200.02</v>
      </c>
      <c r="K8" s="1" t="str">
        <f>getManagedDisk(H8,E8,$A$12,,$A$30)</f>
        <v>standardssd-e10</v>
      </c>
      <c r="L8" s="11">
        <f>getManagedDiskPriceMonth(K8,E8,$A$12)</f>
        <v>9.6</v>
      </c>
    </row>
    <row r="9" spans="1:12" x14ac:dyDescent="0.35">
      <c r="C9" s="7" t="s">
        <v>73</v>
      </c>
      <c r="D9" s="7" t="s">
        <v>53</v>
      </c>
      <c r="E9" s="7" t="str">
        <f>IF(D9="Frankfurt",$A$18,$A$21)</f>
        <v>europe-west</v>
      </c>
      <c r="F9" s="7">
        <v>4</v>
      </c>
      <c r="G9" s="7">
        <v>16</v>
      </c>
      <c r="H9" s="7">
        <v>128</v>
      </c>
      <c r="I9" s="1" t="str">
        <f>getVM(F9,G9,$A$6,E9,$A$12,$A$24,$A$27)</f>
        <v>windows-a4mv2-standard</v>
      </c>
      <c r="J9" s="12">
        <f>getVMPriceHour(I9,$A$6,E9,$A$12)*$A$15</f>
        <v>287.62</v>
      </c>
      <c r="K9" s="1" t="str">
        <f>getManagedDisk(H9,E9,$A$12,,$A$30)</f>
        <v>standardssd-e10</v>
      </c>
      <c r="L9" s="11">
        <f>getManagedDiskPriceMonth(K9,E9,$A$12)</f>
        <v>9.6</v>
      </c>
    </row>
    <row r="10" spans="1:12" x14ac:dyDescent="0.35">
      <c r="C10" s="7" t="s">
        <v>72</v>
      </c>
      <c r="D10" s="7" t="s">
        <v>53</v>
      </c>
      <c r="E10" s="7" t="str">
        <f>IF(D10="Frankfurt",$A$18,$A$21)</f>
        <v>europe-west</v>
      </c>
      <c r="F10" s="7">
        <v>4</v>
      </c>
      <c r="G10" s="7">
        <v>16</v>
      </c>
      <c r="H10" s="7">
        <v>256</v>
      </c>
      <c r="I10" s="1" t="str">
        <f>getVM(F10,G10,$A$6,E10,$A$12,$A$24,$A$27)</f>
        <v>windows-a4mv2-standard</v>
      </c>
      <c r="J10" s="12">
        <f>getVMPriceHour(I10,$A$6,E10,$A$12)*$A$15</f>
        <v>287.62</v>
      </c>
      <c r="K10" s="1" t="str">
        <f>getManagedDisk(H10,E10,$A$12,,$A$30)</f>
        <v>standardssd-e15</v>
      </c>
      <c r="L10" s="11">
        <f>getManagedDiskPriceMonth(K10,E10,$A$12)</f>
        <v>19.2</v>
      </c>
    </row>
    <row r="11" spans="1:12" x14ac:dyDescent="0.35">
      <c r="A11" s="2" t="s">
        <v>1</v>
      </c>
      <c r="C11" s="7" t="s">
        <v>71</v>
      </c>
      <c r="D11" s="7" t="s">
        <v>53</v>
      </c>
      <c r="E11" s="7" t="str">
        <f>IF(D11="Frankfurt",$A$18,$A$21)</f>
        <v>europe-west</v>
      </c>
      <c r="F11" s="7">
        <v>4</v>
      </c>
      <c r="G11" s="7">
        <v>16</v>
      </c>
      <c r="H11" s="7">
        <v>1024</v>
      </c>
      <c r="I11" s="1" t="str">
        <f>getVM(F11,G11,$A$6,E11,$A$12,$A$24,$A$27)</f>
        <v>windows-a4mv2-standard</v>
      </c>
      <c r="J11" s="12">
        <f>getVMPriceHour(I11,$A$6,E11,$A$12)*$A$15</f>
        <v>287.62</v>
      </c>
      <c r="K11" s="1" t="str">
        <f>getManagedDisk(H11,E11,$A$12,,$A$30)</f>
        <v>standardssd-e30</v>
      </c>
      <c r="L11" s="11">
        <f>getManagedDiskPriceMonth(K11,E11,$A$12)</f>
        <v>76.8</v>
      </c>
    </row>
    <row r="12" spans="1:12" x14ac:dyDescent="0.35">
      <c r="A12" s="7" t="s">
        <v>5</v>
      </c>
      <c r="C12" s="7" t="s">
        <v>70</v>
      </c>
      <c r="D12" s="7" t="s">
        <v>53</v>
      </c>
      <c r="E12" s="7" t="str">
        <f>IF(D12="Frankfurt",$A$18,$A$21)</f>
        <v>europe-west</v>
      </c>
      <c r="F12" s="7">
        <v>8</v>
      </c>
      <c r="G12" s="7">
        <v>8</v>
      </c>
      <c r="H12" s="7">
        <v>2048</v>
      </c>
      <c r="I12" s="1" t="str">
        <f>getVM(F12,G12,$A$6,E12,$A$12,$A$24,$A$27)</f>
        <v>windows-a8v2-standard</v>
      </c>
      <c r="J12" s="12">
        <f>getVMPriceHour(I12,$A$6,E12,$A$12)*$A$15</f>
        <v>419.74999999999994</v>
      </c>
      <c r="K12" s="1" t="str">
        <f>getManagedDisk(H12,E12,$A$12,,$A$30)</f>
        <v>standardssd-e40</v>
      </c>
      <c r="L12" s="11">
        <f>getManagedDiskPriceMonth(K12,E12,$A$12)</f>
        <v>153.6</v>
      </c>
    </row>
    <row r="13" spans="1:12" x14ac:dyDescent="0.35">
      <c r="C13" s="7" t="s">
        <v>69</v>
      </c>
      <c r="D13" s="7" t="s">
        <v>53</v>
      </c>
      <c r="E13" s="7" t="str">
        <f>IF(D13="Frankfurt",$A$18,$A$21)</f>
        <v>europe-west</v>
      </c>
      <c r="F13" s="7">
        <v>8</v>
      </c>
      <c r="G13" s="7">
        <v>16</v>
      </c>
      <c r="H13" s="7">
        <v>1024</v>
      </c>
      <c r="I13" s="1" t="str">
        <f>getVM(F13,G13,$A$6,E13,$A$12,$A$24,$A$27)</f>
        <v>windows-a8v2-standard</v>
      </c>
      <c r="J13" s="12">
        <f>getVMPriceHour(I13,$A$6,E13,$A$12)*$A$15</f>
        <v>419.74999999999994</v>
      </c>
      <c r="K13" s="1" t="str">
        <f>getManagedDisk(H13,E13,$A$12,,$A$30)</f>
        <v>standardssd-e30</v>
      </c>
      <c r="L13" s="11">
        <f>getManagedDiskPriceMonth(K13,E13,$A$12)</f>
        <v>76.8</v>
      </c>
    </row>
    <row r="14" spans="1:12" x14ac:dyDescent="0.35">
      <c r="A14" s="2" t="s">
        <v>68</v>
      </c>
      <c r="C14" s="7" t="s">
        <v>67</v>
      </c>
      <c r="D14" s="7" t="s">
        <v>53</v>
      </c>
      <c r="E14" s="7" t="str">
        <f>IF(D14="Frankfurt",$A$18,$A$21)</f>
        <v>europe-west</v>
      </c>
      <c r="F14" s="7">
        <v>8</v>
      </c>
      <c r="G14" s="7">
        <v>16</v>
      </c>
      <c r="H14" s="7">
        <v>256</v>
      </c>
      <c r="I14" s="1" t="str">
        <f>getVM(F14,G14,$A$6,E14,$A$12,$A$24,$A$27)</f>
        <v>windows-a8v2-standard</v>
      </c>
      <c r="J14" s="12">
        <f>getVMPriceHour(I14,$A$6,E14,$A$12)*$A$15</f>
        <v>419.74999999999994</v>
      </c>
      <c r="K14" s="1" t="str">
        <f>getManagedDisk(H14,E14,$A$12,,$A$30)</f>
        <v>standardssd-e15</v>
      </c>
      <c r="L14" s="11">
        <f>getManagedDiskPriceMonth(K14,E14,$A$12)</f>
        <v>19.2</v>
      </c>
    </row>
    <row r="15" spans="1:12" x14ac:dyDescent="0.35">
      <c r="A15" s="7">
        <v>730</v>
      </c>
      <c r="C15" s="7" t="s">
        <v>66</v>
      </c>
      <c r="D15" s="7" t="s">
        <v>53</v>
      </c>
      <c r="E15" s="7" t="str">
        <f>IF(D15="Frankfurt",$A$18,$A$21)</f>
        <v>europe-west</v>
      </c>
      <c r="F15" s="7">
        <v>8</v>
      </c>
      <c r="G15" s="7">
        <v>16</v>
      </c>
      <c r="H15" s="7">
        <v>128</v>
      </c>
      <c r="I15" s="1" t="str">
        <f>getVM(F15,G15,$A$6,E15,$A$12,$A$24,$A$27)</f>
        <v>windows-a8v2-standard</v>
      </c>
      <c r="J15" s="12">
        <f>getVMPriceHour(I15,$A$6,E15,$A$12)*$A$15</f>
        <v>419.74999999999994</v>
      </c>
      <c r="K15" s="1" t="str">
        <f>getManagedDisk(H15,E15,$A$12,,$A$30)</f>
        <v>standardssd-e10</v>
      </c>
      <c r="L15" s="11">
        <f>getManagedDiskPriceMonth(K15,E15,$A$12)</f>
        <v>9.6</v>
      </c>
    </row>
    <row r="16" spans="1:12" x14ac:dyDescent="0.35">
      <c r="C16" s="7" t="s">
        <v>65</v>
      </c>
      <c r="D16" s="7" t="s">
        <v>53</v>
      </c>
      <c r="E16" s="7" t="str">
        <f>IF(D16="Frankfurt",$A$18,$A$21)</f>
        <v>europe-west</v>
      </c>
      <c r="F16" s="7">
        <v>8</v>
      </c>
      <c r="G16" s="7">
        <v>16</v>
      </c>
      <c r="H16" s="7">
        <v>512</v>
      </c>
      <c r="I16" s="1" t="str">
        <f>getVM(F16,G16,$A$6,E16,$A$12,$A$24,$A$27)</f>
        <v>windows-a8v2-standard</v>
      </c>
      <c r="J16" s="12">
        <f>getVMPriceHour(I16,$A$6,E16,$A$12)*$A$15</f>
        <v>419.74999999999994</v>
      </c>
      <c r="K16" s="1" t="str">
        <f>getManagedDisk(H16,E16,$A$12,,$A$30)</f>
        <v>standardssd-e20</v>
      </c>
      <c r="L16" s="11">
        <f>getManagedDiskPriceMonth(K16,E16,$A$12)</f>
        <v>38.4</v>
      </c>
    </row>
    <row r="17" spans="1:12" x14ac:dyDescent="0.35">
      <c r="A17" s="2" t="s">
        <v>97</v>
      </c>
      <c r="C17" s="7" t="s">
        <v>64</v>
      </c>
      <c r="D17" s="7" t="s">
        <v>53</v>
      </c>
      <c r="E17" s="7" t="str">
        <f>IF(D17="Frankfurt",$A$18,$A$21)</f>
        <v>europe-west</v>
      </c>
      <c r="F17" s="7">
        <v>8</v>
      </c>
      <c r="G17" s="7">
        <v>32</v>
      </c>
      <c r="H17" s="7">
        <v>1024</v>
      </c>
      <c r="I17" s="1" t="str">
        <f>getVM(F17,G17,$A$6,E17,$A$12,$A$24,$A$27)</f>
        <v>windows-a8mv2-standard</v>
      </c>
      <c r="J17" s="12">
        <f>getVMPriceHour(I17,$A$6,E17,$A$12)*$A$15</f>
        <v>603.70999999999992</v>
      </c>
      <c r="K17" s="1" t="str">
        <f>getManagedDisk(H17,E17,$A$12,,$A$30)</f>
        <v>standardssd-e30</v>
      </c>
      <c r="L17" s="11">
        <f>getManagedDiskPriceMonth(K17,E17,$A$12)</f>
        <v>76.8</v>
      </c>
    </row>
    <row r="18" spans="1:12" x14ac:dyDescent="0.35">
      <c r="A18" s="7" t="s">
        <v>0</v>
      </c>
      <c r="C18" s="7" t="s">
        <v>63</v>
      </c>
      <c r="D18" s="7" t="s">
        <v>53</v>
      </c>
      <c r="E18" s="7" t="str">
        <f>IF(D18="Frankfurt",$A$18,$A$21)</f>
        <v>europe-west</v>
      </c>
      <c r="F18" s="7">
        <v>8</v>
      </c>
      <c r="G18" s="7">
        <v>32</v>
      </c>
      <c r="H18" s="7">
        <v>2048</v>
      </c>
      <c r="I18" s="1" t="str">
        <f>getVM(F18,G18,$A$6,E18,$A$12,$A$24,$A$27)</f>
        <v>windows-a8mv2-standard</v>
      </c>
      <c r="J18" s="12">
        <f>getVMPriceHour(I18,$A$6,E18,$A$12)*$A$15</f>
        <v>603.70999999999992</v>
      </c>
      <c r="K18" s="1" t="str">
        <f>getManagedDisk(H18,E18,$A$12,,$A$30)</f>
        <v>standardssd-e40</v>
      </c>
      <c r="L18" s="11">
        <f>getManagedDiskPriceMonth(K18,E18,$A$12)</f>
        <v>153.6</v>
      </c>
    </row>
    <row r="19" spans="1:12" x14ac:dyDescent="0.35">
      <c r="C19" s="7" t="s">
        <v>62</v>
      </c>
      <c r="D19" s="7" t="s">
        <v>53</v>
      </c>
      <c r="E19" s="7" t="str">
        <f>IF(D19="Frankfurt",$A$18,$A$21)</f>
        <v>europe-west</v>
      </c>
      <c r="F19" s="7">
        <v>8</v>
      </c>
      <c r="G19" s="7">
        <v>32</v>
      </c>
      <c r="H19" s="7">
        <v>2048</v>
      </c>
      <c r="I19" s="1" t="str">
        <f>getVM(F19,G19,$A$6,E19,$A$12,$A$24,$A$27)</f>
        <v>windows-a8mv2-standard</v>
      </c>
      <c r="J19" s="12">
        <f>getVMPriceHour(I19,$A$6,E19,$A$12)*$A$15</f>
        <v>603.70999999999992</v>
      </c>
      <c r="K19" s="1" t="str">
        <f>getManagedDisk(H19,E19,$A$12,,$A$30)</f>
        <v>standardssd-e40</v>
      </c>
      <c r="L19" s="11">
        <f>getManagedDiskPriceMonth(K19,E19,$A$12)</f>
        <v>153.6</v>
      </c>
    </row>
    <row r="20" spans="1:12" x14ac:dyDescent="0.35">
      <c r="A20" s="2" t="s">
        <v>96</v>
      </c>
      <c r="C20" s="7" t="s">
        <v>61</v>
      </c>
      <c r="D20" s="7" t="s">
        <v>53</v>
      </c>
      <c r="E20" s="7" t="str">
        <f>IF(D20="Frankfurt",$A$18,$A$21)</f>
        <v>europe-west</v>
      </c>
      <c r="F20" s="7">
        <v>16</v>
      </c>
      <c r="G20" s="7">
        <v>32</v>
      </c>
      <c r="H20" s="7">
        <v>4096</v>
      </c>
      <c r="I20" s="1" t="str">
        <f>getVM(F20,G20,$A$6,E20,$A$12,$A$24,$A$27)</f>
        <v>windows-f16sv2-standard</v>
      </c>
      <c r="J20" s="12">
        <f>getVMPriceHour(I20,$A$6,E20,$A$12)*$A$15</f>
        <v>1081.1300000000001</v>
      </c>
      <c r="K20" s="1" t="str">
        <f>getManagedDisk(H20,E20,$A$12,,$A$30)</f>
        <v>standardssd-e50</v>
      </c>
      <c r="L20" s="11">
        <f>getManagedDiskPriceMonth(K20,E20,$A$12)</f>
        <v>307.2</v>
      </c>
    </row>
    <row r="21" spans="1:12" x14ac:dyDescent="0.35">
      <c r="A21" s="7" t="s">
        <v>7</v>
      </c>
      <c r="C21" s="7" t="s">
        <v>60</v>
      </c>
      <c r="D21" s="7" t="s">
        <v>53</v>
      </c>
      <c r="E21" s="7" t="str">
        <f>IF(D21="Frankfurt",$A$18,$A$21)</f>
        <v>europe-west</v>
      </c>
      <c r="F21" s="7">
        <v>16</v>
      </c>
      <c r="G21" s="7">
        <v>64</v>
      </c>
      <c r="H21" s="7">
        <v>2048</v>
      </c>
      <c r="I21" s="1" t="str">
        <f>getVM(F21,G21,$A$6,E21,$A$12,$A$24,$A$27)</f>
        <v>windows-d16v3-standard</v>
      </c>
      <c r="J21" s="12">
        <f>getVMPriceHour(I21,$A$6,E21,$A$12)*$A$15</f>
        <v>1238.08</v>
      </c>
      <c r="K21" s="1" t="str">
        <f>getManagedDisk(H21,E21,$A$12,,$A$30)</f>
        <v>standardssd-e40</v>
      </c>
      <c r="L21" s="11">
        <f>getManagedDiskPriceMonth(K21,E21,$A$12)</f>
        <v>153.6</v>
      </c>
    </row>
    <row r="22" spans="1:12" x14ac:dyDescent="0.35">
      <c r="C22" s="7" t="s">
        <v>59</v>
      </c>
      <c r="D22" s="7" t="s">
        <v>53</v>
      </c>
      <c r="E22" s="7" t="str">
        <f>IF(D22="Frankfurt",$A$18,$A$21)</f>
        <v>europe-west</v>
      </c>
      <c r="F22" s="7">
        <v>16</v>
      </c>
      <c r="G22" s="7">
        <v>64</v>
      </c>
      <c r="H22" s="7">
        <v>1024</v>
      </c>
      <c r="I22" s="1" t="str">
        <f>getVM(F22,G22,$A$6,E22,$A$12,$A$24,$A$27)</f>
        <v>windows-d16v3-standard</v>
      </c>
      <c r="J22" s="12">
        <f>getVMPriceHour(I22,$A$6,E22,$A$12)*$A$15</f>
        <v>1238.08</v>
      </c>
      <c r="K22" s="1" t="str">
        <f>getManagedDisk(H22,E22,$A$12,,$A$30)</f>
        <v>standardssd-e30</v>
      </c>
      <c r="L22" s="11">
        <f>getManagedDiskPriceMonth(K22,E22,$A$12)</f>
        <v>76.8</v>
      </c>
    </row>
    <row r="23" spans="1:12" x14ac:dyDescent="0.35">
      <c r="A23" s="2" t="s">
        <v>95</v>
      </c>
      <c r="C23" s="7" t="s">
        <v>58</v>
      </c>
      <c r="D23" s="7" t="s">
        <v>53</v>
      </c>
      <c r="E23" s="7" t="str">
        <f>IF(D23="Frankfurt",$A$18,$A$21)</f>
        <v>europe-west</v>
      </c>
      <c r="F23" s="7">
        <v>16</v>
      </c>
      <c r="G23" s="7">
        <v>64</v>
      </c>
      <c r="H23" s="7">
        <v>1024</v>
      </c>
      <c r="I23" s="1" t="str">
        <f>getVM(F23,G23,$A$6,E23,$A$12,$A$24,$A$27)</f>
        <v>windows-d16v3-standard</v>
      </c>
      <c r="J23" s="12">
        <f>getVMPriceHour(I23,$A$6,E23,$A$12)*$A$15</f>
        <v>1238.08</v>
      </c>
      <c r="K23" s="1" t="str">
        <f>getManagedDisk(H23,E23,$A$12,,$A$30)</f>
        <v>standardssd-e30</v>
      </c>
      <c r="L23" s="11">
        <f>getManagedDiskPriceMonth(K23,E23,$A$12)</f>
        <v>76.8</v>
      </c>
    </row>
    <row r="24" spans="1:12" x14ac:dyDescent="0.35">
      <c r="A24" s="3" t="s">
        <v>94</v>
      </c>
      <c r="C24" s="7" t="s">
        <v>57</v>
      </c>
      <c r="D24" s="7" t="s">
        <v>53</v>
      </c>
      <c r="E24" s="7" t="str">
        <f>IF(D24="Frankfurt",$A$18,$A$21)</f>
        <v>europe-west</v>
      </c>
      <c r="F24" s="7">
        <v>16</v>
      </c>
      <c r="G24" s="7">
        <v>128</v>
      </c>
      <c r="H24" s="7">
        <v>2048</v>
      </c>
      <c r="I24" s="1" t="str">
        <f>getVM(F24,G24,$A$6,E24,$A$12,$A$24,$A$27)</f>
        <v>windows-e16v3-standard</v>
      </c>
      <c r="J24" s="12">
        <f>getVMPriceHour(I24,$A$6,E24,$A$12)*$A$15</f>
        <v>1471.68</v>
      </c>
      <c r="K24" s="1" t="str">
        <f>getManagedDisk(H24,E24,$A$12,,$A$30)</f>
        <v>standardssd-e40</v>
      </c>
      <c r="L24" s="11">
        <f>getManagedDiskPriceMonth(K24,E24,$A$12)</f>
        <v>153.6</v>
      </c>
    </row>
    <row r="25" spans="1:12" x14ac:dyDescent="0.35">
      <c r="C25" s="7" t="s">
        <v>56</v>
      </c>
      <c r="D25" s="7" t="s">
        <v>53</v>
      </c>
      <c r="E25" s="7" t="str">
        <f>IF(D25="Frankfurt",$A$18,$A$21)</f>
        <v>europe-west</v>
      </c>
      <c r="F25" s="7">
        <v>32</v>
      </c>
      <c r="G25" s="7">
        <v>32</v>
      </c>
      <c r="H25" s="7">
        <v>8192</v>
      </c>
      <c r="I25" s="1" t="str">
        <f>getVM(F25,G25,$A$6,E25,$A$12,$A$24,$A$27)</f>
        <v>windows-f32sv2-standard</v>
      </c>
      <c r="J25" s="12">
        <f>getVMPriceHour(I25,$A$6,E25,$A$12)*$A$15</f>
        <v>2161.5299999999997</v>
      </c>
      <c r="K25" s="1" t="str">
        <f>getManagedDisk(H25,E25,$A$12,,$A$30)</f>
        <v>standardssd-e60</v>
      </c>
      <c r="L25" s="11">
        <f>getManagedDiskPriceMonth(K25,E25,$A$12)</f>
        <v>614.4</v>
      </c>
    </row>
    <row r="26" spans="1:12" x14ac:dyDescent="0.35">
      <c r="A26" s="2" t="s">
        <v>93</v>
      </c>
      <c r="C26" s="7" t="s">
        <v>55</v>
      </c>
      <c r="D26" s="7" t="s">
        <v>53</v>
      </c>
      <c r="E26" s="7" t="str">
        <f>IF(D26="Frankfurt",$A$18,$A$21)</f>
        <v>europe-west</v>
      </c>
      <c r="F26" s="7">
        <v>64</v>
      </c>
      <c r="G26" s="7">
        <v>128</v>
      </c>
      <c r="H26" s="7">
        <v>4096</v>
      </c>
      <c r="I26" s="1" t="str">
        <f>getVM(F26,G26,$A$6,E26,$A$12,$A$24,$A$27)</f>
        <v>windows-f64sv2-standard</v>
      </c>
      <c r="J26" s="12">
        <f>getVMPriceHour(I26,$A$6,E26,$A$12)*$A$15</f>
        <v>4323.0599999999995</v>
      </c>
      <c r="K26" s="1" t="str">
        <f>getManagedDisk(H26,E26,$A$12,,$A$30)</f>
        <v>standardssd-e50</v>
      </c>
      <c r="L26" s="11">
        <f>getManagedDiskPriceMonth(K26,E26,$A$12)</f>
        <v>307.2</v>
      </c>
    </row>
    <row r="27" spans="1:12" x14ac:dyDescent="0.35">
      <c r="A27" s="7" t="s">
        <v>92</v>
      </c>
      <c r="C27" s="7" t="s">
        <v>54</v>
      </c>
      <c r="D27" s="7" t="s">
        <v>53</v>
      </c>
      <c r="E27" s="7" t="str">
        <f>IF(D27="Frankfurt",$A$18,$A$21)</f>
        <v>europe-west</v>
      </c>
      <c r="F27" s="7">
        <v>128</v>
      </c>
      <c r="G27" s="7">
        <v>128</v>
      </c>
      <c r="H27" s="7">
        <v>16384</v>
      </c>
      <c r="I27" s="1" t="str">
        <f>getVM(F27,G27,$A$6,E27,$A$12,$A$24,$A$27)</f>
        <v>windows-m128-standard</v>
      </c>
      <c r="J27" s="12">
        <f>getVMPriceHour(I27,$A$6,E27,$A$12)*$A$15</f>
        <v>17930.260000000002</v>
      </c>
      <c r="K27" s="1" t="str">
        <f>getManagedDisk(H27,E27,$A$12,,$A$30)</f>
        <v>standardssd-e70</v>
      </c>
      <c r="L27" s="11">
        <f>getManagedDiskPriceMonth(K27,E27,$A$12)</f>
        <v>1228.8</v>
      </c>
    </row>
    <row r="28" spans="1:12" x14ac:dyDescent="0.35">
      <c r="C28" s="7" t="s">
        <v>52</v>
      </c>
      <c r="D28" s="7" t="s">
        <v>37</v>
      </c>
      <c r="E28" s="7" t="str">
        <f>IF(D28="Frankfurt",$A$18,$A$21)</f>
        <v>us-west-2</v>
      </c>
      <c r="F28" s="7">
        <v>2</v>
      </c>
      <c r="G28" s="7">
        <v>4</v>
      </c>
      <c r="H28" s="7">
        <v>32</v>
      </c>
      <c r="I28" s="1" t="str">
        <f>getVM(F28,G28,$A$6,E28,$A$12,$A$24,$A$27)</f>
        <v>windows-a2v2-standard</v>
      </c>
      <c r="J28" s="12">
        <f>getVMPriceHour(I28,$A$6,E28,$A$12)*$A$15</f>
        <v>82.490000000000009</v>
      </c>
      <c r="K28" s="1" t="str">
        <f>getManagedDisk(H28,E28,$A$12,,$A$30)</f>
        <v>standardssd-e4</v>
      </c>
      <c r="L28" s="11">
        <f>getManagedDiskPriceMonth(K28,E28,$A$12)</f>
        <v>2.4</v>
      </c>
    </row>
    <row r="29" spans="1:12" x14ac:dyDescent="0.35">
      <c r="A29" s="2" t="s">
        <v>91</v>
      </c>
      <c r="C29" s="7" t="s">
        <v>51</v>
      </c>
      <c r="D29" s="7" t="s">
        <v>37</v>
      </c>
      <c r="E29" s="7" t="str">
        <f>IF(D29="Frankfurt",$A$18,$A$21)</f>
        <v>us-west-2</v>
      </c>
      <c r="F29" s="7">
        <v>2</v>
      </c>
      <c r="G29" s="7">
        <v>4</v>
      </c>
      <c r="H29" s="7">
        <v>256</v>
      </c>
      <c r="I29" s="1" t="str">
        <f>getVM(F29,G29,$A$6,E29,$A$12,$A$24,$A$27)</f>
        <v>windows-a2v2-standard</v>
      </c>
      <c r="J29" s="12">
        <f>getVMPriceHour(I29,$A$6,E29,$A$12)*$A$15</f>
        <v>82.490000000000009</v>
      </c>
      <c r="K29" s="1" t="str">
        <f>getManagedDisk(H29,E29,$A$12,,$A$30)</f>
        <v>standardssd-e15</v>
      </c>
      <c r="L29" s="11">
        <f>getManagedDiskPriceMonth(K29,E29,$A$12)</f>
        <v>19.2</v>
      </c>
    </row>
    <row r="30" spans="1:12" x14ac:dyDescent="0.35">
      <c r="A30" s="7" t="s">
        <v>90</v>
      </c>
      <c r="C30" s="7" t="s">
        <v>50</v>
      </c>
      <c r="D30" s="7" t="s">
        <v>37</v>
      </c>
      <c r="E30" s="7" t="str">
        <f>IF(D30="Frankfurt",$A$18,$A$21)</f>
        <v>us-west-2</v>
      </c>
      <c r="F30" s="7">
        <v>2</v>
      </c>
      <c r="G30" s="7">
        <v>6</v>
      </c>
      <c r="H30" s="7">
        <v>32</v>
      </c>
      <c r="I30" s="1" t="str">
        <f>getVM(F30,G30,$A$6,E30,$A$12,$A$24,$A$27)</f>
        <v>windows-a2mv2-standard</v>
      </c>
      <c r="J30" s="12">
        <f>getVMPriceHour(I30,$A$6,E30,$A$12)*$A$15</f>
        <v>109.5</v>
      </c>
      <c r="K30" s="1" t="str">
        <f>getManagedDisk(H30,E30,$A$12,,$A$30)</f>
        <v>standardssd-e4</v>
      </c>
      <c r="L30" s="11">
        <f>getManagedDiskPriceMonth(K30,E30,$A$12)</f>
        <v>2.4</v>
      </c>
    </row>
    <row r="31" spans="1:12" x14ac:dyDescent="0.35">
      <c r="C31" s="7" t="s">
        <v>49</v>
      </c>
      <c r="D31" s="7" t="s">
        <v>37</v>
      </c>
      <c r="E31" s="7" t="str">
        <f>IF(D31="Frankfurt",$A$18,$A$21)</f>
        <v>us-west-2</v>
      </c>
      <c r="F31" s="7">
        <v>2</v>
      </c>
      <c r="G31" s="7">
        <v>6</v>
      </c>
      <c r="H31" s="7">
        <v>512</v>
      </c>
      <c r="I31" s="1" t="str">
        <f>getVM(F31,G31,$A$6,E31,$A$12,$A$24,$A$27)</f>
        <v>windows-a2mv2-standard</v>
      </c>
      <c r="J31" s="12">
        <f>getVMPriceHour(I31,$A$6,E31,$A$12)*$A$15</f>
        <v>109.5</v>
      </c>
      <c r="K31" s="1" t="str">
        <f>getManagedDisk(H31,E31,$A$12,,$A$30)</f>
        <v>standardssd-e20</v>
      </c>
      <c r="L31" s="11">
        <f>getManagedDiskPriceMonth(K31,E31,$A$12)</f>
        <v>38.4</v>
      </c>
    </row>
    <row r="32" spans="1:12" x14ac:dyDescent="0.35">
      <c r="C32" s="7" t="s">
        <v>48</v>
      </c>
      <c r="D32" s="7" t="s">
        <v>37</v>
      </c>
      <c r="E32" s="7" t="str">
        <f>IF(D32="Frankfurt",$A$18,$A$21)</f>
        <v>us-west-2</v>
      </c>
      <c r="F32" s="7">
        <v>4</v>
      </c>
      <c r="G32" s="7">
        <v>4</v>
      </c>
      <c r="H32" s="7">
        <v>256</v>
      </c>
      <c r="I32" s="1" t="str">
        <f>getVM(F32,G32,$A$6,E32,$A$12,$A$24,$A$27)</f>
        <v>windows-a4v2-standard</v>
      </c>
      <c r="J32" s="12">
        <f>getVMPriceHour(I32,$A$6,E32,$A$12)*$A$15</f>
        <v>173.73999999999998</v>
      </c>
      <c r="K32" s="1" t="str">
        <f>getManagedDisk(H32,E32,$A$12,,$A$30)</f>
        <v>standardssd-e15</v>
      </c>
      <c r="L32" s="11">
        <f>getManagedDiskPriceMonth(K32,E32,$A$12)</f>
        <v>19.2</v>
      </c>
    </row>
    <row r="33" spans="3:15" x14ac:dyDescent="0.35">
      <c r="C33" s="7" t="s">
        <v>47</v>
      </c>
      <c r="D33" s="7" t="s">
        <v>37</v>
      </c>
      <c r="E33" s="7" t="str">
        <f>IF(D33="Frankfurt",$A$18,$A$21)</f>
        <v>us-west-2</v>
      </c>
      <c r="F33" s="7">
        <v>4</v>
      </c>
      <c r="G33" s="7">
        <v>4</v>
      </c>
      <c r="H33" s="7">
        <v>256</v>
      </c>
      <c r="I33" s="1" t="str">
        <f>getVM(F33,G33,$A$6,E33,$A$12,$A$24,$A$27)</f>
        <v>windows-a4v2-standard</v>
      </c>
      <c r="J33" s="12">
        <f>getVMPriceHour(I33,$A$6,E33,$A$12)*$A$15</f>
        <v>173.73999999999998</v>
      </c>
      <c r="K33" s="1" t="str">
        <f>getManagedDisk(H33,E33,$A$12,,$A$30)</f>
        <v>standardssd-e15</v>
      </c>
      <c r="L33" s="11">
        <f>getManagedDiskPriceMonth(K33,E33,$A$12)</f>
        <v>19.2</v>
      </c>
    </row>
    <row r="34" spans="3:15" x14ac:dyDescent="0.35">
      <c r="C34" s="7" t="s">
        <v>46</v>
      </c>
      <c r="D34" s="7" t="s">
        <v>37</v>
      </c>
      <c r="E34" s="7" t="str">
        <f>IF(D34="Frankfurt",$A$18,$A$21)</f>
        <v>us-west-2</v>
      </c>
      <c r="F34" s="7">
        <v>4</v>
      </c>
      <c r="G34" s="7">
        <v>8</v>
      </c>
      <c r="H34" s="7">
        <v>512</v>
      </c>
      <c r="I34" s="1" t="str">
        <f>getVM(F34,G34,$A$6,E34,$A$12,$A$24,$A$27)</f>
        <v>windows-a4v2-standard</v>
      </c>
      <c r="J34" s="12">
        <f>getVMPriceHour(I34,$A$6,E34,$A$12)*$A$15</f>
        <v>173.73999999999998</v>
      </c>
      <c r="K34" s="1" t="str">
        <f>getManagedDisk(H34,E34,$A$12,,$A$30)</f>
        <v>standardssd-e20</v>
      </c>
      <c r="L34" s="11">
        <f>getManagedDiskPriceMonth(K34,E34,$A$12)</f>
        <v>38.4</v>
      </c>
    </row>
    <row r="35" spans="3:15" x14ac:dyDescent="0.35">
      <c r="C35" s="7" t="s">
        <v>45</v>
      </c>
      <c r="D35" s="7" t="s">
        <v>37</v>
      </c>
      <c r="E35" s="7" t="str">
        <f>IF(D35="Frankfurt",$A$18,$A$21)</f>
        <v>us-west-2</v>
      </c>
      <c r="F35" s="7">
        <v>4</v>
      </c>
      <c r="G35" s="7">
        <v>8</v>
      </c>
      <c r="H35" s="7">
        <v>128</v>
      </c>
      <c r="I35" s="1" t="str">
        <f>getVM(F35,G35,$A$6,E35,$A$12,$A$24,$A$27)</f>
        <v>windows-a4v2-standard</v>
      </c>
      <c r="J35" s="12">
        <f>getVMPriceHour(I35,$A$6,E35,$A$12)*$A$15</f>
        <v>173.73999999999998</v>
      </c>
      <c r="K35" s="1" t="str">
        <f>getManagedDisk(H35,E35,$A$12,,$A$30)</f>
        <v>standardssd-e10</v>
      </c>
      <c r="L35" s="11">
        <f>getManagedDiskPriceMonth(K35,E35,$A$12)</f>
        <v>9.6</v>
      </c>
    </row>
    <row r="36" spans="3:15" x14ac:dyDescent="0.35">
      <c r="C36" s="7" t="s">
        <v>44</v>
      </c>
      <c r="D36" s="7" t="s">
        <v>37</v>
      </c>
      <c r="E36" s="7" t="str">
        <f>IF(D36="Frankfurt",$A$18,$A$21)</f>
        <v>us-west-2</v>
      </c>
      <c r="F36" s="7">
        <v>4</v>
      </c>
      <c r="G36" s="7">
        <v>4</v>
      </c>
      <c r="H36" s="7">
        <v>256</v>
      </c>
      <c r="I36" s="1" t="str">
        <f>getVM(F36,G36,$A$6,E36,$A$12,$A$24,$A$27)</f>
        <v>windows-a4v2-standard</v>
      </c>
      <c r="J36" s="12">
        <f>getVMPriceHour(I36,$A$6,E36,$A$12)*$A$15</f>
        <v>173.73999999999998</v>
      </c>
      <c r="K36" s="1" t="str">
        <f>getManagedDisk(H36,E36,$A$12,,$A$30)</f>
        <v>standardssd-e15</v>
      </c>
      <c r="L36" s="11">
        <f>getManagedDiskPriceMonth(K36,E36,$A$12)</f>
        <v>19.2</v>
      </c>
    </row>
    <row r="37" spans="3:15" x14ac:dyDescent="0.35">
      <c r="C37" s="7" t="s">
        <v>43</v>
      </c>
      <c r="D37" s="7" t="s">
        <v>37</v>
      </c>
      <c r="E37" s="7" t="str">
        <f>IF(D37="Frankfurt",$A$18,$A$21)</f>
        <v>us-west-2</v>
      </c>
      <c r="F37" s="7">
        <v>8</v>
      </c>
      <c r="G37" s="7">
        <v>16</v>
      </c>
      <c r="H37" s="7">
        <v>256</v>
      </c>
      <c r="I37" s="1" t="str">
        <f>getVM(F37,G37,$A$6,E37,$A$12,$A$24,$A$27)</f>
        <v>windows-a8v2-standard</v>
      </c>
      <c r="J37" s="12">
        <f>getVMPriceHour(I37,$A$6,E37,$A$12)*$A$15</f>
        <v>365</v>
      </c>
      <c r="K37" s="1" t="str">
        <f>getManagedDisk(H37,E37,$A$12,,$A$30)</f>
        <v>standardssd-e15</v>
      </c>
      <c r="L37" s="11">
        <f>getManagedDiskPriceMonth(K37,E37,$A$12)</f>
        <v>19.2</v>
      </c>
    </row>
    <row r="38" spans="3:15" x14ac:dyDescent="0.35">
      <c r="C38" s="7" t="s">
        <v>42</v>
      </c>
      <c r="D38" s="7" t="s">
        <v>37</v>
      </c>
      <c r="E38" s="7" t="str">
        <f>IF(D38="Frankfurt",$A$18,$A$21)</f>
        <v>us-west-2</v>
      </c>
      <c r="F38" s="7">
        <v>8</v>
      </c>
      <c r="G38" s="7">
        <v>16</v>
      </c>
      <c r="H38" s="7">
        <v>128</v>
      </c>
      <c r="I38" s="1" t="str">
        <f>getVM(F38,G38,$A$6,E38,$A$12,$A$24,$A$27)</f>
        <v>windows-a8v2-standard</v>
      </c>
      <c r="J38" s="12">
        <f>getVMPriceHour(I38,$A$6,E38,$A$12)*$A$15</f>
        <v>365</v>
      </c>
      <c r="K38" s="1" t="str">
        <f>getManagedDisk(H38,E38,$A$12,,$A$30)</f>
        <v>standardssd-e10</v>
      </c>
      <c r="L38" s="11">
        <f>getManagedDiskPriceMonth(K38,E38,$A$12)</f>
        <v>9.6</v>
      </c>
    </row>
    <row r="39" spans="3:15" x14ac:dyDescent="0.35">
      <c r="C39" s="7" t="s">
        <v>41</v>
      </c>
      <c r="D39" s="7" t="s">
        <v>37</v>
      </c>
      <c r="E39" s="7" t="str">
        <f>IF(D39="Frankfurt",$A$18,$A$21)</f>
        <v>us-west-2</v>
      </c>
      <c r="F39" s="7">
        <v>16</v>
      </c>
      <c r="G39" s="7">
        <v>16</v>
      </c>
      <c r="H39" s="7">
        <v>512</v>
      </c>
      <c r="I39" s="1" t="str">
        <f>getVM(F39,G39,$A$6,E39,$A$12,$A$24,$A$27)</f>
        <v>windows-f16sv2-standard</v>
      </c>
      <c r="J39" s="12">
        <f>getVMPriceHour(I39,$A$6,E39,$A$12)*$A$15</f>
        <v>1006.67</v>
      </c>
      <c r="K39" s="1" t="str">
        <f>getManagedDisk(H39,E39,$A$12,,$A$30)</f>
        <v>standardssd-e20</v>
      </c>
      <c r="L39" s="11">
        <f>getManagedDiskPriceMonth(K39,E39,$A$12)</f>
        <v>38.4</v>
      </c>
    </row>
    <row r="40" spans="3:15" x14ac:dyDescent="0.35">
      <c r="C40" s="7" t="s">
        <v>40</v>
      </c>
      <c r="D40" s="7" t="s">
        <v>37</v>
      </c>
      <c r="E40" s="7" t="str">
        <f>IF(D40="Frankfurt",$A$18,$A$21)</f>
        <v>us-west-2</v>
      </c>
      <c r="F40" s="7">
        <v>16</v>
      </c>
      <c r="G40" s="7">
        <v>16</v>
      </c>
      <c r="H40" s="7">
        <v>2048</v>
      </c>
      <c r="I40" s="1" t="str">
        <f>getVM(F40,G40,$A$6,E40,$A$12,$A$24,$A$27)</f>
        <v>windows-f16sv2-standard</v>
      </c>
      <c r="J40" s="12">
        <f>getVMPriceHour(I40,$A$6,E40,$A$12)*$A$15</f>
        <v>1006.67</v>
      </c>
      <c r="K40" s="1" t="str">
        <f>getManagedDisk(H40,E40,$A$12,,$A$30)</f>
        <v>standardssd-e40</v>
      </c>
      <c r="L40" s="11">
        <f>getManagedDiskPriceMonth(K40,E40,$A$12)</f>
        <v>153.6</v>
      </c>
    </row>
    <row r="41" spans="3:15" x14ac:dyDescent="0.35">
      <c r="C41" s="7" t="s">
        <v>39</v>
      </c>
      <c r="D41" s="7" t="s">
        <v>37</v>
      </c>
      <c r="E41" s="7" t="str">
        <f>IF(D41="Frankfurt",$A$18,$A$21)</f>
        <v>us-west-2</v>
      </c>
      <c r="F41" s="7">
        <v>32</v>
      </c>
      <c r="G41" s="7">
        <v>128</v>
      </c>
      <c r="H41" s="7">
        <v>512</v>
      </c>
      <c r="I41" s="1" t="str">
        <f>getVM(F41,G41,$A$6,E41,$A$12,$A$24,$A$27)</f>
        <v>windows-hc44rs-standard</v>
      </c>
      <c r="J41" s="12">
        <f>getVMPriceHour(I41,$A$6,E41,$A$12)*$A$15</f>
        <v>1895.0800000000002</v>
      </c>
      <c r="K41" s="1" t="str">
        <f>getManagedDisk(H41,E41,$A$12,,$A$30)</f>
        <v>standardssd-e20</v>
      </c>
      <c r="L41" s="11">
        <f>getManagedDiskPriceMonth(K41,E41,$A$12)</f>
        <v>38.4</v>
      </c>
    </row>
    <row r="42" spans="3:15" x14ac:dyDescent="0.35">
      <c r="C42" s="7" t="s">
        <v>38</v>
      </c>
      <c r="D42" s="7" t="s">
        <v>37</v>
      </c>
      <c r="E42" s="7" t="str">
        <f>IF(D42="Frankfurt",$A$18,$A$21)</f>
        <v>us-west-2</v>
      </c>
      <c r="F42" s="7">
        <v>64</v>
      </c>
      <c r="G42" s="7">
        <v>128</v>
      </c>
      <c r="H42" s="7">
        <v>2048</v>
      </c>
      <c r="I42" s="1" t="str">
        <f>getVM(F42,G42,$A$6,E42,$A$12,$A$24,$A$27)</f>
        <v>windows-f64sv2-standard</v>
      </c>
      <c r="J42" s="12">
        <f>getVMPriceHour(I42,$A$6,E42,$A$12)*$A$15</f>
        <v>4025.95</v>
      </c>
      <c r="K42" s="1" t="str">
        <f>getManagedDisk(H42,E42,$A$12,,$A$30)</f>
        <v>standardssd-e40</v>
      </c>
      <c r="L42" s="11">
        <f>getManagedDiskPriceMonth(K42,E42,$A$12)</f>
        <v>153.6</v>
      </c>
    </row>
    <row r="43" spans="3:15" x14ac:dyDescent="0.35">
      <c r="O43" s="2" t="s">
        <v>36</v>
      </c>
    </row>
    <row r="44" spans="3:15" x14ac:dyDescent="0.35">
      <c r="C44" s="7" t="s">
        <v>36</v>
      </c>
      <c r="J44" s="10">
        <f>SUM(J2:J42)</f>
        <v>46393.689999999981</v>
      </c>
      <c r="L44" s="10">
        <f>SUM(L2:L42)</f>
        <v>4355.9999999999991</v>
      </c>
      <c r="O44" s="9">
        <f>SUM(C44:L44)</f>
        <v>50749.689999999981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C0E77-2EED-4D1E-9664-D2935F32A270}">
  <sheetPr codeName="Sheet3"/>
  <dimension ref="A1:P46"/>
  <sheetViews>
    <sheetView workbookViewId="0">
      <selection activeCell="A32" sqref="A32:A33"/>
    </sheetView>
  </sheetViews>
  <sheetFormatPr defaultRowHeight="14.5" x14ac:dyDescent="0.35"/>
  <cols>
    <col min="1" max="1" width="8.7265625" style="7"/>
    <col min="2" max="2" width="12.453125" style="7" customWidth="1"/>
    <col min="3" max="3" width="12.90625" style="7" customWidth="1"/>
    <col min="4" max="5" width="11.90625" style="7" customWidth="1"/>
    <col min="6" max="6" width="8.7265625" style="7"/>
    <col min="7" max="7" width="19.90625" style="7" bestFit="1" customWidth="1"/>
    <col min="8" max="8" width="15.26953125" style="7" customWidth="1"/>
    <col min="9" max="9" width="19.36328125" style="7" customWidth="1"/>
    <col min="10" max="10" width="15" style="7" bestFit="1" customWidth="1"/>
    <col min="11" max="11" width="15.08984375" style="7" bestFit="1" customWidth="1"/>
    <col min="12" max="12" width="15.6328125" style="7" bestFit="1" customWidth="1"/>
    <col min="13" max="13" width="8.7265625" style="7"/>
    <col min="14" max="14" width="11" style="7" bestFit="1" customWidth="1"/>
    <col min="15" max="15" width="22.36328125" style="7" bestFit="1" customWidth="1"/>
    <col min="16" max="16" width="17.36328125" style="7" customWidth="1"/>
    <col min="17" max="16384" width="8.7265625" style="7"/>
  </cols>
  <sheetData>
    <row r="1" spans="1:16" x14ac:dyDescent="0.35">
      <c r="C1" s="13" t="s">
        <v>89</v>
      </c>
      <c r="D1" s="13" t="s">
        <v>88</v>
      </c>
      <c r="E1" s="13" t="s">
        <v>98</v>
      </c>
      <c r="F1" s="13" t="s">
        <v>87</v>
      </c>
      <c r="G1" s="13" t="s">
        <v>86</v>
      </c>
      <c r="H1" s="13" t="s">
        <v>85</v>
      </c>
      <c r="I1" s="13" t="s">
        <v>84</v>
      </c>
      <c r="J1" s="13" t="s">
        <v>83</v>
      </c>
      <c r="K1" s="13" t="s">
        <v>82</v>
      </c>
      <c r="L1" s="13" t="s">
        <v>81</v>
      </c>
      <c r="M1" s="13" t="s">
        <v>2</v>
      </c>
      <c r="N1" s="13" t="s">
        <v>99</v>
      </c>
      <c r="O1" s="13" t="s">
        <v>101</v>
      </c>
      <c r="P1" s="13" t="s">
        <v>103</v>
      </c>
    </row>
    <row r="2" spans="1:16" x14ac:dyDescent="0.35">
      <c r="C2" s="7" t="s">
        <v>80</v>
      </c>
      <c r="D2" s="7" t="s">
        <v>53</v>
      </c>
      <c r="E2" s="7" t="str">
        <f>IF(D2="Frankfurt",$A$18,$A$21)</f>
        <v>europe-west</v>
      </c>
      <c r="F2" s="7">
        <v>2</v>
      </c>
      <c r="G2" s="7">
        <v>2</v>
      </c>
      <c r="H2" s="7">
        <v>32</v>
      </c>
      <c r="I2" s="1" t="str">
        <f>getVM(F2,G2,$A$6,E2,$A$12,$A$24,$A$27)</f>
        <v>windows-a2v2-standard</v>
      </c>
      <c r="J2" s="12">
        <f>getVMPriceHour(I2,$A$6,E2,$A$12)*$A$15</f>
        <v>94.9</v>
      </c>
      <c r="K2" s="1" t="str">
        <f>getManagedDisk(H2,E2,$A$12,,$A$30)</f>
        <v>standardssd-e4</v>
      </c>
      <c r="L2" s="11">
        <f>getManagedDiskPriceMonth(K2,E2,$A$12)</f>
        <v>2.4</v>
      </c>
      <c r="M2" s="7">
        <f>VALUE(getVMData(I2,E2,"usd","cores"))</f>
        <v>2</v>
      </c>
      <c r="N2" s="7" t="str">
        <f>getVMData($I2,$E2,"usd","isVcpu")</f>
        <v>True</v>
      </c>
      <c r="O2" s="7">
        <f>VALUE(getVMData($I2,$E2,"usd","ram"))</f>
        <v>4</v>
      </c>
      <c r="P2" s="15">
        <f>O2/G2-1</f>
        <v>1</v>
      </c>
    </row>
    <row r="3" spans="1:16" x14ac:dyDescent="0.35">
      <c r="C3" s="7" t="s">
        <v>79</v>
      </c>
      <c r="D3" s="7" t="s">
        <v>53</v>
      </c>
      <c r="E3" s="7" t="str">
        <f>IF(D3="Frankfurt",$A$18,$A$21)</f>
        <v>europe-west</v>
      </c>
      <c r="F3" s="7">
        <v>2</v>
      </c>
      <c r="G3" s="7">
        <v>4</v>
      </c>
      <c r="H3" s="7">
        <v>64</v>
      </c>
      <c r="I3" s="1" t="str">
        <f>getVM(F3,G3,$A$6,E3,$A$12,$A$24,$A$27)</f>
        <v>windows-a2v2-standard</v>
      </c>
      <c r="J3" s="12">
        <f>getVMPriceHour(I3,$A$6,E3,$A$12)*$A$15</f>
        <v>94.9</v>
      </c>
      <c r="K3" s="1" t="str">
        <f>getManagedDisk(H3,E3,$A$12,,$A$30)</f>
        <v>standardssd-e6</v>
      </c>
      <c r="L3" s="11">
        <f>getManagedDiskPriceMonth(K3,E3,$A$12)</f>
        <v>4.8</v>
      </c>
      <c r="M3" s="7">
        <f t="shared" ref="M3:M42" si="0">VALUE(getVMData(I3,E3,"usd","cores"))</f>
        <v>2</v>
      </c>
      <c r="N3" s="7" t="str">
        <f t="shared" ref="N3:N42" si="1">getVMData($I3,$E3,"usd","isVcpu")</f>
        <v>True</v>
      </c>
      <c r="O3" s="7">
        <f t="shared" ref="O3:O42" si="2">VALUE(getVMData($I3,$E3,"usd","ram"))</f>
        <v>4</v>
      </c>
      <c r="P3" s="15">
        <f t="shared" ref="P3:P42" si="3">O3/G3-1</f>
        <v>0</v>
      </c>
    </row>
    <row r="4" spans="1:16" x14ac:dyDescent="0.35">
      <c r="C4" s="7" t="s">
        <v>78</v>
      </c>
      <c r="D4" s="7" t="s">
        <v>53</v>
      </c>
      <c r="E4" s="7" t="str">
        <f>IF(D4="Frankfurt",$A$18,$A$21)</f>
        <v>europe-west</v>
      </c>
      <c r="F4" s="7">
        <v>2</v>
      </c>
      <c r="G4" s="7">
        <v>4</v>
      </c>
      <c r="H4" s="7">
        <v>256</v>
      </c>
      <c r="I4" s="1" t="str">
        <f>getVM(F4,G4,$A$6,E4,$A$12,$A$24,$A$27)</f>
        <v>windows-a2v2-standard</v>
      </c>
      <c r="J4" s="12">
        <f>getVMPriceHour(I4,$A$6,E4,$A$12)*$A$15</f>
        <v>94.9</v>
      </c>
      <c r="K4" s="1" t="str">
        <f>getManagedDisk(H4,E4,$A$12,,$A$30)</f>
        <v>standardssd-e15</v>
      </c>
      <c r="L4" s="11">
        <f>getManagedDiskPriceMonth(K4,E4,$A$12)</f>
        <v>19.2</v>
      </c>
      <c r="M4" s="7">
        <f t="shared" si="0"/>
        <v>2</v>
      </c>
      <c r="N4" s="7" t="str">
        <f t="shared" si="1"/>
        <v>True</v>
      </c>
      <c r="O4" s="7">
        <f t="shared" si="2"/>
        <v>4</v>
      </c>
      <c r="P4" s="15">
        <f t="shared" si="3"/>
        <v>0</v>
      </c>
    </row>
    <row r="5" spans="1:16" x14ac:dyDescent="0.35">
      <c r="A5" s="2" t="s">
        <v>4</v>
      </c>
      <c r="C5" s="7" t="s">
        <v>77</v>
      </c>
      <c r="D5" s="7" t="s">
        <v>53</v>
      </c>
      <c r="E5" s="7" t="str">
        <f>IF(D5="Frankfurt",$A$18,$A$21)</f>
        <v>europe-west</v>
      </c>
      <c r="F5" s="7">
        <v>2</v>
      </c>
      <c r="G5" s="7">
        <v>6</v>
      </c>
      <c r="H5" s="7">
        <v>256</v>
      </c>
      <c r="I5" s="1" t="str">
        <f>getVM(F5,G5,$A$6,E5,$A$12,$A$24,$A$27)</f>
        <v>windows-a2mv2-standard</v>
      </c>
      <c r="J5" s="12">
        <f>getVMPriceHour(I5,$A$6,E5,$A$12)*$A$15</f>
        <v>137.24</v>
      </c>
      <c r="K5" s="1" t="str">
        <f>getManagedDisk(H5,E5,$A$12,,$A$30)</f>
        <v>standardssd-e15</v>
      </c>
      <c r="L5" s="11">
        <f>getManagedDiskPriceMonth(K5,E5,$A$12)</f>
        <v>19.2</v>
      </c>
      <c r="M5" s="7">
        <f t="shared" si="0"/>
        <v>2</v>
      </c>
      <c r="N5" s="7" t="str">
        <f t="shared" si="1"/>
        <v>True</v>
      </c>
      <c r="O5" s="7">
        <f t="shared" si="2"/>
        <v>16</v>
      </c>
      <c r="P5" s="15">
        <f t="shared" si="3"/>
        <v>1.6666666666666665</v>
      </c>
    </row>
    <row r="6" spans="1:16" x14ac:dyDescent="0.35">
      <c r="A6" s="7">
        <v>0</v>
      </c>
      <c r="C6" s="7" t="s">
        <v>76</v>
      </c>
      <c r="D6" s="7" t="s">
        <v>53</v>
      </c>
      <c r="E6" s="7" t="str">
        <f>IF(D6="Frankfurt",$A$18,$A$21)</f>
        <v>europe-west</v>
      </c>
      <c r="F6" s="7">
        <v>4</v>
      </c>
      <c r="G6" s="7">
        <v>6</v>
      </c>
      <c r="H6" s="7">
        <v>128</v>
      </c>
      <c r="I6" s="1" t="str">
        <f>getVM(F6,G6,$A$6,E6,$A$12,$A$24,$A$27)</f>
        <v>windows-a4v2-standard</v>
      </c>
      <c r="J6" s="12">
        <f>getVMPriceHour(I6,$A$6,E6,$A$12)*$A$15</f>
        <v>200.02</v>
      </c>
      <c r="K6" s="1" t="str">
        <f>getManagedDisk(H6,E6,$A$12,,$A$30)</f>
        <v>standardssd-e10</v>
      </c>
      <c r="L6" s="11">
        <f>getManagedDiskPriceMonth(K6,E6,$A$12)</f>
        <v>9.6</v>
      </c>
      <c r="M6" s="7">
        <f t="shared" si="0"/>
        <v>4</v>
      </c>
      <c r="N6" s="7" t="str">
        <f t="shared" si="1"/>
        <v>True</v>
      </c>
      <c r="O6" s="7">
        <f t="shared" si="2"/>
        <v>8</v>
      </c>
      <c r="P6" s="15">
        <f t="shared" si="3"/>
        <v>0.33333333333333326</v>
      </c>
    </row>
    <row r="7" spans="1:16" x14ac:dyDescent="0.35">
      <c r="C7" s="7" t="s">
        <v>75</v>
      </c>
      <c r="D7" s="7" t="s">
        <v>53</v>
      </c>
      <c r="E7" s="7" t="str">
        <f>IF(D7="Frankfurt",$A$18,$A$21)</f>
        <v>europe-west</v>
      </c>
      <c r="F7" s="7">
        <v>4</v>
      </c>
      <c r="G7" s="7">
        <v>8</v>
      </c>
      <c r="H7" s="7">
        <v>64</v>
      </c>
      <c r="I7" s="1" t="str">
        <f>getVM(F7,G7,$A$6,E7,$A$12,$A$24,$A$27)</f>
        <v>windows-a4v2-standard</v>
      </c>
      <c r="J7" s="12">
        <f>getVMPriceHour(I7,$A$6,E7,$A$12)*$A$15</f>
        <v>200.02</v>
      </c>
      <c r="K7" s="1" t="str">
        <f>getManagedDisk(H7,E7,$A$12,,$A$30)</f>
        <v>standardssd-e6</v>
      </c>
      <c r="L7" s="11">
        <f>getManagedDiskPriceMonth(K7,E7,$A$12)</f>
        <v>4.8</v>
      </c>
      <c r="M7" s="7">
        <f t="shared" si="0"/>
        <v>4</v>
      </c>
      <c r="N7" s="7" t="str">
        <f t="shared" si="1"/>
        <v>True</v>
      </c>
      <c r="O7" s="7">
        <f t="shared" si="2"/>
        <v>8</v>
      </c>
      <c r="P7" s="15">
        <f t="shared" si="3"/>
        <v>0</v>
      </c>
    </row>
    <row r="8" spans="1:16" x14ac:dyDescent="0.35">
      <c r="A8" s="2"/>
      <c r="C8" s="7" t="s">
        <v>74</v>
      </c>
      <c r="D8" s="7" t="s">
        <v>53</v>
      </c>
      <c r="E8" s="7" t="str">
        <f>IF(D8="Frankfurt",$A$18,$A$21)</f>
        <v>europe-west</v>
      </c>
      <c r="F8" s="7">
        <v>4</v>
      </c>
      <c r="G8" s="7">
        <v>8</v>
      </c>
      <c r="H8" s="7">
        <v>128</v>
      </c>
      <c r="I8" s="1" t="str">
        <f>getVM(F8,G8,$A$6,E8,$A$12,$A$24,$A$27)</f>
        <v>windows-a4v2-standard</v>
      </c>
      <c r="J8" s="12">
        <f>getVMPriceHour(I8,$A$6,E8,$A$12)*$A$15</f>
        <v>200.02</v>
      </c>
      <c r="K8" s="1" t="str">
        <f>getManagedDisk(H8,E8,$A$12,,$A$30)</f>
        <v>standardssd-e10</v>
      </c>
      <c r="L8" s="11">
        <f>getManagedDiskPriceMonth(K8,E8,$A$12)</f>
        <v>9.6</v>
      </c>
      <c r="M8" s="7">
        <f t="shared" si="0"/>
        <v>4</v>
      </c>
      <c r="N8" s="7" t="str">
        <f t="shared" si="1"/>
        <v>True</v>
      </c>
      <c r="O8" s="7">
        <f t="shared" si="2"/>
        <v>8</v>
      </c>
      <c r="P8" s="15">
        <f t="shared" si="3"/>
        <v>0</v>
      </c>
    </row>
    <row r="9" spans="1:16" x14ac:dyDescent="0.35">
      <c r="C9" s="7" t="s">
        <v>73</v>
      </c>
      <c r="D9" s="7" t="s">
        <v>53</v>
      </c>
      <c r="E9" s="7" t="str">
        <f>IF(D9="Frankfurt",$A$18,$A$21)</f>
        <v>europe-west</v>
      </c>
      <c r="F9" s="7">
        <v>4</v>
      </c>
      <c r="G9" s="7">
        <v>16</v>
      </c>
      <c r="H9" s="7">
        <v>128</v>
      </c>
      <c r="I9" s="1" t="str">
        <f>getVM(F9,G9,$A$6,E9,$A$12,$A$24,$A$27)</f>
        <v>windows-a4mv2-standard</v>
      </c>
      <c r="J9" s="12">
        <f>getVMPriceHour(I9,$A$6,E9,$A$12)*$A$15</f>
        <v>287.62</v>
      </c>
      <c r="K9" s="1" t="str">
        <f>getManagedDisk(H9,E9,$A$12,,$A$30)</f>
        <v>standardssd-e10</v>
      </c>
      <c r="L9" s="11">
        <f>getManagedDiskPriceMonth(K9,E9,$A$12)</f>
        <v>9.6</v>
      </c>
      <c r="M9" s="7">
        <f t="shared" si="0"/>
        <v>4</v>
      </c>
      <c r="N9" s="7" t="str">
        <f t="shared" si="1"/>
        <v>True</v>
      </c>
      <c r="O9" s="7">
        <f t="shared" si="2"/>
        <v>32</v>
      </c>
      <c r="P9" s="15">
        <f t="shared" si="3"/>
        <v>1</v>
      </c>
    </row>
    <row r="10" spans="1:16" x14ac:dyDescent="0.35">
      <c r="C10" s="7" t="s">
        <v>72</v>
      </c>
      <c r="D10" s="7" t="s">
        <v>53</v>
      </c>
      <c r="E10" s="7" t="str">
        <f>IF(D10="Frankfurt",$A$18,$A$21)</f>
        <v>europe-west</v>
      </c>
      <c r="F10" s="7">
        <v>4</v>
      </c>
      <c r="G10" s="7">
        <v>16</v>
      </c>
      <c r="H10" s="7">
        <v>256</v>
      </c>
      <c r="I10" s="1" t="str">
        <f>getVM(F10,G10,$A$6,E10,$A$12,$A$24,$A$27)</f>
        <v>windows-a4mv2-standard</v>
      </c>
      <c r="J10" s="12">
        <f>getVMPriceHour(I10,$A$6,E10,$A$12)*$A$15</f>
        <v>287.62</v>
      </c>
      <c r="K10" s="1" t="str">
        <f>getManagedDisk(H10,E10,$A$12,,$A$30)</f>
        <v>standardssd-e15</v>
      </c>
      <c r="L10" s="11">
        <f>getManagedDiskPriceMonth(K10,E10,$A$12)</f>
        <v>19.2</v>
      </c>
      <c r="M10" s="7">
        <f t="shared" si="0"/>
        <v>4</v>
      </c>
      <c r="N10" s="7" t="str">
        <f t="shared" si="1"/>
        <v>True</v>
      </c>
      <c r="O10" s="7">
        <f t="shared" si="2"/>
        <v>32</v>
      </c>
      <c r="P10" s="15">
        <f t="shared" si="3"/>
        <v>1</v>
      </c>
    </row>
    <row r="11" spans="1:16" x14ac:dyDescent="0.35">
      <c r="A11" s="2" t="s">
        <v>1</v>
      </c>
      <c r="C11" s="7" t="s">
        <v>71</v>
      </c>
      <c r="D11" s="7" t="s">
        <v>53</v>
      </c>
      <c r="E11" s="7" t="str">
        <f>IF(D11="Frankfurt",$A$18,$A$21)</f>
        <v>europe-west</v>
      </c>
      <c r="F11" s="7">
        <v>4</v>
      </c>
      <c r="G11" s="7">
        <v>16</v>
      </c>
      <c r="H11" s="7">
        <v>1024</v>
      </c>
      <c r="I11" s="1" t="str">
        <f>getVM(F11,G11,$A$6,E11,$A$12,$A$24,$A$27)</f>
        <v>windows-a4mv2-standard</v>
      </c>
      <c r="J11" s="12">
        <f>getVMPriceHour(I11,$A$6,E11,$A$12)*$A$15</f>
        <v>287.62</v>
      </c>
      <c r="K11" s="1" t="str">
        <f>getManagedDisk(H11,E11,$A$12,,$A$30)</f>
        <v>standardssd-e30</v>
      </c>
      <c r="L11" s="11">
        <f>getManagedDiskPriceMonth(K11,E11,$A$12)</f>
        <v>76.8</v>
      </c>
      <c r="M11" s="7">
        <f t="shared" si="0"/>
        <v>4</v>
      </c>
      <c r="N11" s="7" t="str">
        <f t="shared" si="1"/>
        <v>True</v>
      </c>
      <c r="O11" s="7">
        <f t="shared" si="2"/>
        <v>32</v>
      </c>
      <c r="P11" s="15">
        <f t="shared" si="3"/>
        <v>1</v>
      </c>
    </row>
    <row r="12" spans="1:16" x14ac:dyDescent="0.35">
      <c r="A12" s="7" t="s">
        <v>5</v>
      </c>
      <c r="C12" s="7" t="s">
        <v>70</v>
      </c>
      <c r="D12" s="7" t="s">
        <v>53</v>
      </c>
      <c r="E12" s="7" t="str">
        <f>IF(D12="Frankfurt",$A$18,$A$21)</f>
        <v>europe-west</v>
      </c>
      <c r="F12" s="7">
        <v>8</v>
      </c>
      <c r="G12" s="7">
        <v>8</v>
      </c>
      <c r="H12" s="7">
        <v>2048</v>
      </c>
      <c r="I12" s="1" t="str">
        <f>getVM(F12,G12,$A$6,E12,$A$12,$A$24,$A$27)</f>
        <v>windows-a8v2-standard</v>
      </c>
      <c r="J12" s="12">
        <f>getVMPriceHour(I12,$A$6,E12,$A$12)*$A$15</f>
        <v>419.74999999999994</v>
      </c>
      <c r="K12" s="1" t="str">
        <f>getManagedDisk(H12,E12,$A$12,,$A$30)</f>
        <v>standardssd-e40</v>
      </c>
      <c r="L12" s="11">
        <f>getManagedDiskPriceMonth(K12,E12,$A$12)</f>
        <v>153.6</v>
      </c>
      <c r="M12" s="7">
        <f t="shared" si="0"/>
        <v>8</v>
      </c>
      <c r="N12" s="7" t="str">
        <f t="shared" si="1"/>
        <v>True</v>
      </c>
      <c r="O12" s="7">
        <f t="shared" si="2"/>
        <v>16</v>
      </c>
      <c r="P12" s="15">
        <f t="shared" si="3"/>
        <v>1</v>
      </c>
    </row>
    <row r="13" spans="1:16" x14ac:dyDescent="0.35">
      <c r="C13" s="7" t="s">
        <v>69</v>
      </c>
      <c r="D13" s="7" t="s">
        <v>53</v>
      </c>
      <c r="E13" s="7" t="str">
        <f>IF(D13="Frankfurt",$A$18,$A$21)</f>
        <v>europe-west</v>
      </c>
      <c r="F13" s="7">
        <v>8</v>
      </c>
      <c r="G13" s="7">
        <v>16</v>
      </c>
      <c r="H13" s="7">
        <v>1024</v>
      </c>
      <c r="I13" s="1" t="str">
        <f>getVM(F13,G13,$A$6,E13,$A$12,$A$24,$A$27)</f>
        <v>windows-a8v2-standard</v>
      </c>
      <c r="J13" s="12">
        <f>getVMPriceHour(I13,$A$6,E13,$A$12)*$A$15</f>
        <v>419.74999999999994</v>
      </c>
      <c r="K13" s="1" t="str">
        <f>getManagedDisk(H13,E13,$A$12,,$A$30)</f>
        <v>standardssd-e30</v>
      </c>
      <c r="L13" s="11">
        <f>getManagedDiskPriceMonth(K13,E13,$A$12)</f>
        <v>76.8</v>
      </c>
      <c r="M13" s="7">
        <f t="shared" si="0"/>
        <v>8</v>
      </c>
      <c r="N13" s="7" t="str">
        <f t="shared" si="1"/>
        <v>True</v>
      </c>
      <c r="O13" s="7">
        <f t="shared" si="2"/>
        <v>16</v>
      </c>
      <c r="P13" s="15">
        <f t="shared" si="3"/>
        <v>0</v>
      </c>
    </row>
    <row r="14" spans="1:16" x14ac:dyDescent="0.35">
      <c r="A14" s="2" t="s">
        <v>68</v>
      </c>
      <c r="C14" s="7" t="s">
        <v>67</v>
      </c>
      <c r="D14" s="7" t="s">
        <v>53</v>
      </c>
      <c r="E14" s="7" t="str">
        <f>IF(D14="Frankfurt",$A$18,$A$21)</f>
        <v>europe-west</v>
      </c>
      <c r="F14" s="7">
        <v>8</v>
      </c>
      <c r="G14" s="7">
        <v>16</v>
      </c>
      <c r="H14" s="7">
        <v>256</v>
      </c>
      <c r="I14" s="1" t="str">
        <f>getVM(F14,G14,$A$6,E14,$A$12,$A$24,$A$27)</f>
        <v>windows-a8v2-standard</v>
      </c>
      <c r="J14" s="12">
        <f>getVMPriceHour(I14,$A$6,E14,$A$12)*$A$15</f>
        <v>419.74999999999994</v>
      </c>
      <c r="K14" s="1" t="str">
        <f>getManagedDisk(H14,E14,$A$12,,$A$30)</f>
        <v>standardssd-e15</v>
      </c>
      <c r="L14" s="11">
        <f>getManagedDiskPriceMonth(K14,E14,$A$12)</f>
        <v>19.2</v>
      </c>
      <c r="M14" s="7">
        <f t="shared" si="0"/>
        <v>8</v>
      </c>
      <c r="N14" s="7" t="str">
        <f t="shared" si="1"/>
        <v>True</v>
      </c>
      <c r="O14" s="7">
        <f t="shared" si="2"/>
        <v>16</v>
      </c>
      <c r="P14" s="15">
        <f t="shared" si="3"/>
        <v>0</v>
      </c>
    </row>
    <row r="15" spans="1:16" x14ac:dyDescent="0.35">
      <c r="A15" s="7">
        <v>730</v>
      </c>
      <c r="C15" s="7" t="s">
        <v>66</v>
      </c>
      <c r="D15" s="7" t="s">
        <v>53</v>
      </c>
      <c r="E15" s="7" t="str">
        <f>IF(D15="Frankfurt",$A$18,$A$21)</f>
        <v>europe-west</v>
      </c>
      <c r="F15" s="7">
        <v>8</v>
      </c>
      <c r="G15" s="7">
        <v>16</v>
      </c>
      <c r="H15" s="7">
        <v>128</v>
      </c>
      <c r="I15" s="1" t="str">
        <f>getVM(F15,G15,$A$6,E15,$A$12,$A$24,$A$27)</f>
        <v>windows-a8v2-standard</v>
      </c>
      <c r="J15" s="12">
        <f>getVMPriceHour(I15,$A$6,E15,$A$12)*$A$15</f>
        <v>419.74999999999994</v>
      </c>
      <c r="K15" s="1" t="str">
        <f>getManagedDisk(H15,E15,$A$12,,$A$30)</f>
        <v>standardssd-e10</v>
      </c>
      <c r="L15" s="11">
        <f>getManagedDiskPriceMonth(K15,E15,$A$12)</f>
        <v>9.6</v>
      </c>
      <c r="M15" s="7">
        <f t="shared" si="0"/>
        <v>8</v>
      </c>
      <c r="N15" s="7" t="str">
        <f t="shared" si="1"/>
        <v>True</v>
      </c>
      <c r="O15" s="7">
        <f t="shared" si="2"/>
        <v>16</v>
      </c>
      <c r="P15" s="15">
        <f t="shared" si="3"/>
        <v>0</v>
      </c>
    </row>
    <row r="16" spans="1:16" x14ac:dyDescent="0.35">
      <c r="C16" s="7" t="s">
        <v>65</v>
      </c>
      <c r="D16" s="7" t="s">
        <v>53</v>
      </c>
      <c r="E16" s="7" t="str">
        <f>IF(D16="Frankfurt",$A$18,$A$21)</f>
        <v>europe-west</v>
      </c>
      <c r="F16" s="7">
        <v>8</v>
      </c>
      <c r="G16" s="7">
        <v>16</v>
      </c>
      <c r="H16" s="7">
        <v>512</v>
      </c>
      <c r="I16" s="1" t="str">
        <f>getVM(F16,G16,$A$6,E16,$A$12,$A$24,$A$27)</f>
        <v>windows-a8v2-standard</v>
      </c>
      <c r="J16" s="12">
        <f>getVMPriceHour(I16,$A$6,E16,$A$12)*$A$15</f>
        <v>419.74999999999994</v>
      </c>
      <c r="K16" s="1" t="str">
        <f>getManagedDisk(H16,E16,$A$12,,$A$30)</f>
        <v>standardssd-e20</v>
      </c>
      <c r="L16" s="11">
        <f>getManagedDiskPriceMonth(K16,E16,$A$12)</f>
        <v>38.4</v>
      </c>
      <c r="M16" s="7">
        <f t="shared" si="0"/>
        <v>8</v>
      </c>
      <c r="N16" s="7" t="str">
        <f t="shared" si="1"/>
        <v>True</v>
      </c>
      <c r="O16" s="7">
        <f t="shared" si="2"/>
        <v>16</v>
      </c>
      <c r="P16" s="15">
        <f t="shared" si="3"/>
        <v>0</v>
      </c>
    </row>
    <row r="17" spans="1:16" x14ac:dyDescent="0.35">
      <c r="A17" s="2" t="s">
        <v>97</v>
      </c>
      <c r="C17" s="7" t="s">
        <v>64</v>
      </c>
      <c r="D17" s="7" t="s">
        <v>53</v>
      </c>
      <c r="E17" s="7" t="str">
        <f>IF(D17="Frankfurt",$A$18,$A$21)</f>
        <v>europe-west</v>
      </c>
      <c r="F17" s="7">
        <v>8</v>
      </c>
      <c r="G17" s="7">
        <v>32</v>
      </c>
      <c r="H17" s="7">
        <v>1024</v>
      </c>
      <c r="I17" s="1" t="str">
        <f>getVM(F17,G17,$A$6,E17,$A$12,$A$24,$A$27)</f>
        <v>windows-a8mv2-standard</v>
      </c>
      <c r="J17" s="12">
        <f>getVMPriceHour(I17,$A$6,E17,$A$12)*$A$15</f>
        <v>603.70999999999992</v>
      </c>
      <c r="K17" s="1" t="str">
        <f>getManagedDisk(H17,E17,$A$12,,$A$30)</f>
        <v>standardssd-e30</v>
      </c>
      <c r="L17" s="11">
        <f>getManagedDiskPriceMonth(K17,E17,$A$12)</f>
        <v>76.8</v>
      </c>
      <c r="M17" s="7">
        <f t="shared" si="0"/>
        <v>8</v>
      </c>
      <c r="N17" s="7" t="str">
        <f t="shared" si="1"/>
        <v>True</v>
      </c>
      <c r="O17" s="7">
        <f t="shared" si="2"/>
        <v>64</v>
      </c>
      <c r="P17" s="15">
        <f t="shared" si="3"/>
        <v>1</v>
      </c>
    </row>
    <row r="18" spans="1:16" x14ac:dyDescent="0.35">
      <c r="A18" s="7" t="s">
        <v>0</v>
      </c>
      <c r="C18" s="7" t="s">
        <v>63</v>
      </c>
      <c r="D18" s="7" t="s">
        <v>53</v>
      </c>
      <c r="E18" s="7" t="str">
        <f>IF(D18="Frankfurt",$A$18,$A$21)</f>
        <v>europe-west</v>
      </c>
      <c r="F18" s="7">
        <v>8</v>
      </c>
      <c r="G18" s="7">
        <v>32</v>
      </c>
      <c r="H18" s="7">
        <v>2048</v>
      </c>
      <c r="I18" s="1" t="str">
        <f>getVM(F18,G18,$A$6,E18,$A$12,$A$24,$A$27)</f>
        <v>windows-a8mv2-standard</v>
      </c>
      <c r="J18" s="12">
        <f>getVMPriceHour(I18,$A$6,E18,$A$12)*$A$15</f>
        <v>603.70999999999992</v>
      </c>
      <c r="K18" s="1" t="str">
        <f>getManagedDisk(H18,E18,$A$12,,$A$30)</f>
        <v>standardssd-e40</v>
      </c>
      <c r="L18" s="11">
        <f>getManagedDiskPriceMonth(K18,E18,$A$12)</f>
        <v>153.6</v>
      </c>
      <c r="M18" s="7">
        <f t="shared" si="0"/>
        <v>8</v>
      </c>
      <c r="N18" s="7" t="str">
        <f t="shared" si="1"/>
        <v>True</v>
      </c>
      <c r="O18" s="7">
        <f t="shared" si="2"/>
        <v>64</v>
      </c>
      <c r="P18" s="15">
        <f t="shared" si="3"/>
        <v>1</v>
      </c>
    </row>
    <row r="19" spans="1:16" x14ac:dyDescent="0.35">
      <c r="C19" s="7" t="s">
        <v>62</v>
      </c>
      <c r="D19" s="7" t="s">
        <v>53</v>
      </c>
      <c r="E19" s="7" t="str">
        <f>IF(D19="Frankfurt",$A$18,$A$21)</f>
        <v>europe-west</v>
      </c>
      <c r="F19" s="7">
        <v>8</v>
      </c>
      <c r="G19" s="7">
        <v>32</v>
      </c>
      <c r="H19" s="7">
        <v>2048</v>
      </c>
      <c r="I19" s="1" t="str">
        <f>getVM(F19,G19,$A$6,E19,$A$12,$A$24,$A$27)</f>
        <v>windows-a8mv2-standard</v>
      </c>
      <c r="J19" s="12">
        <f>getVMPriceHour(I19,$A$6,E19,$A$12)*$A$15</f>
        <v>603.70999999999992</v>
      </c>
      <c r="K19" s="1" t="str">
        <f>getManagedDisk(H19,E19,$A$12,,$A$30)</f>
        <v>standardssd-e40</v>
      </c>
      <c r="L19" s="11">
        <f>getManagedDiskPriceMonth(K19,E19,$A$12)</f>
        <v>153.6</v>
      </c>
      <c r="M19" s="7">
        <f t="shared" si="0"/>
        <v>8</v>
      </c>
      <c r="N19" s="7" t="str">
        <f t="shared" si="1"/>
        <v>True</v>
      </c>
      <c r="O19" s="7">
        <f t="shared" si="2"/>
        <v>64</v>
      </c>
      <c r="P19" s="15">
        <f t="shared" si="3"/>
        <v>1</v>
      </c>
    </row>
    <row r="20" spans="1:16" x14ac:dyDescent="0.35">
      <c r="A20" s="2" t="s">
        <v>96</v>
      </c>
      <c r="C20" s="7" t="s">
        <v>61</v>
      </c>
      <c r="D20" s="7" t="s">
        <v>53</v>
      </c>
      <c r="E20" s="7" t="str">
        <f>IF(D20="Frankfurt",$A$18,$A$21)</f>
        <v>europe-west</v>
      </c>
      <c r="F20" s="7">
        <v>16</v>
      </c>
      <c r="G20" s="7">
        <v>32</v>
      </c>
      <c r="H20" s="7">
        <v>4096</v>
      </c>
      <c r="I20" s="1" t="str">
        <f>getVM(F20,G20,$A$6,E20,$A$12,$A$24,$A$27)</f>
        <v>windows-f16sv2-standard</v>
      </c>
      <c r="J20" s="12">
        <f>getVMPriceHour(I20,$A$6,E20,$A$12)*$A$15</f>
        <v>1081.1300000000001</v>
      </c>
      <c r="K20" s="1" t="str">
        <f>getManagedDisk(H20,E20,$A$12,,$A$30)</f>
        <v>standardssd-e50</v>
      </c>
      <c r="L20" s="11">
        <f>getManagedDiskPriceMonth(K20,E20,$A$12)</f>
        <v>307.2</v>
      </c>
      <c r="M20" s="7">
        <f t="shared" si="0"/>
        <v>16</v>
      </c>
      <c r="N20" s="7" t="str">
        <f t="shared" si="1"/>
        <v>True</v>
      </c>
      <c r="O20" s="7">
        <f t="shared" si="2"/>
        <v>32</v>
      </c>
      <c r="P20" s="15">
        <f t="shared" si="3"/>
        <v>0</v>
      </c>
    </row>
    <row r="21" spans="1:16" x14ac:dyDescent="0.35">
      <c r="A21" s="7" t="s">
        <v>7</v>
      </c>
      <c r="C21" s="7" t="s">
        <v>60</v>
      </c>
      <c r="D21" s="7" t="s">
        <v>53</v>
      </c>
      <c r="E21" s="7" t="str">
        <f>IF(D21="Frankfurt",$A$18,$A$21)</f>
        <v>europe-west</v>
      </c>
      <c r="F21" s="7">
        <v>16</v>
      </c>
      <c r="G21" s="7">
        <v>64</v>
      </c>
      <c r="H21" s="7">
        <v>2048</v>
      </c>
      <c r="I21" s="1" t="str">
        <f>getVM(F21,G21,$A$6,E21,$A$12,$A$24,$A$27)</f>
        <v>windows-d16v3-standard</v>
      </c>
      <c r="J21" s="12">
        <f>getVMPriceHour(I21,$A$6,E21,$A$12)*$A$15</f>
        <v>1238.08</v>
      </c>
      <c r="K21" s="1" t="str">
        <f>getManagedDisk(H21,E21,$A$12,,$A$30)</f>
        <v>standardssd-e40</v>
      </c>
      <c r="L21" s="11">
        <f>getManagedDiskPriceMonth(K21,E21,$A$12)</f>
        <v>153.6</v>
      </c>
      <c r="M21" s="7">
        <f t="shared" si="0"/>
        <v>16</v>
      </c>
      <c r="N21" s="7" t="str">
        <f t="shared" si="1"/>
        <v>True</v>
      </c>
      <c r="O21" s="7">
        <f t="shared" si="2"/>
        <v>64</v>
      </c>
      <c r="P21" s="15">
        <f t="shared" si="3"/>
        <v>0</v>
      </c>
    </row>
    <row r="22" spans="1:16" x14ac:dyDescent="0.35">
      <c r="C22" s="7" t="s">
        <v>59</v>
      </c>
      <c r="D22" s="7" t="s">
        <v>53</v>
      </c>
      <c r="E22" s="7" t="str">
        <f>IF(D22="Frankfurt",$A$18,$A$21)</f>
        <v>europe-west</v>
      </c>
      <c r="F22" s="7">
        <v>16</v>
      </c>
      <c r="G22" s="7">
        <v>64</v>
      </c>
      <c r="H22" s="7">
        <v>1024</v>
      </c>
      <c r="I22" s="1" t="str">
        <f>getVM(F22,G22,$A$6,E22,$A$12,$A$24,$A$27)</f>
        <v>windows-d16v3-standard</v>
      </c>
      <c r="J22" s="12">
        <f>getVMPriceHour(I22,$A$6,E22,$A$12)*$A$15</f>
        <v>1238.08</v>
      </c>
      <c r="K22" s="1" t="str">
        <f>getManagedDisk(H22,E22,$A$12,,$A$30)</f>
        <v>standardssd-e30</v>
      </c>
      <c r="L22" s="11">
        <f>getManagedDiskPriceMonth(K22,E22,$A$12)</f>
        <v>76.8</v>
      </c>
      <c r="M22" s="7">
        <f t="shared" si="0"/>
        <v>16</v>
      </c>
      <c r="N22" s="7" t="str">
        <f t="shared" si="1"/>
        <v>True</v>
      </c>
      <c r="O22" s="7">
        <f t="shared" si="2"/>
        <v>64</v>
      </c>
      <c r="P22" s="15">
        <f t="shared" si="3"/>
        <v>0</v>
      </c>
    </row>
    <row r="23" spans="1:16" x14ac:dyDescent="0.35">
      <c r="A23" s="2" t="s">
        <v>95</v>
      </c>
      <c r="C23" s="7" t="s">
        <v>58</v>
      </c>
      <c r="D23" s="7" t="s">
        <v>53</v>
      </c>
      <c r="E23" s="7" t="str">
        <f>IF(D23="Frankfurt",$A$18,$A$21)</f>
        <v>europe-west</v>
      </c>
      <c r="F23" s="7">
        <v>16</v>
      </c>
      <c r="G23" s="7">
        <v>64</v>
      </c>
      <c r="H23" s="7">
        <v>1024</v>
      </c>
      <c r="I23" s="1" t="str">
        <f>getVM(F23,G23,$A$6,E23,$A$12,$A$24,$A$27)</f>
        <v>windows-d16v3-standard</v>
      </c>
      <c r="J23" s="12">
        <f>getVMPriceHour(I23,$A$6,E23,$A$12)*$A$15</f>
        <v>1238.08</v>
      </c>
      <c r="K23" s="1" t="str">
        <f>getManagedDisk(H23,E23,$A$12,,$A$30)</f>
        <v>standardssd-e30</v>
      </c>
      <c r="L23" s="11">
        <f>getManagedDiskPriceMonth(K23,E23,$A$12)</f>
        <v>76.8</v>
      </c>
      <c r="M23" s="7">
        <f t="shared" si="0"/>
        <v>16</v>
      </c>
      <c r="N23" s="7" t="str">
        <f t="shared" si="1"/>
        <v>True</v>
      </c>
      <c r="O23" s="7">
        <f t="shared" si="2"/>
        <v>64</v>
      </c>
      <c r="P23" s="15">
        <f t="shared" si="3"/>
        <v>0</v>
      </c>
    </row>
    <row r="24" spans="1:16" x14ac:dyDescent="0.35">
      <c r="A24" s="3" t="s">
        <v>94</v>
      </c>
      <c r="C24" s="7" t="s">
        <v>57</v>
      </c>
      <c r="D24" s="7" t="s">
        <v>53</v>
      </c>
      <c r="E24" s="7" t="str">
        <f>IF(D24="Frankfurt",$A$18,$A$21)</f>
        <v>europe-west</v>
      </c>
      <c r="F24" s="7">
        <v>16</v>
      </c>
      <c r="G24" s="7">
        <v>128</v>
      </c>
      <c r="H24" s="7">
        <v>2048</v>
      </c>
      <c r="I24" s="1" t="str">
        <f>getVM(F24,G24,$A$6,E24,$A$12,$A$24,$A$27)</f>
        <v>windows-e16v3-standard</v>
      </c>
      <c r="J24" s="12">
        <f>getVMPriceHour(I24,$A$6,E24,$A$12)*$A$15</f>
        <v>1471.68</v>
      </c>
      <c r="K24" s="1" t="str">
        <f>getManagedDisk(H24,E24,$A$12,,$A$30)</f>
        <v>standardssd-e40</v>
      </c>
      <c r="L24" s="11">
        <f>getManagedDiskPriceMonth(K24,E24,$A$12)</f>
        <v>153.6</v>
      </c>
      <c r="M24" s="7">
        <f t="shared" si="0"/>
        <v>16</v>
      </c>
      <c r="N24" s="7" t="str">
        <f t="shared" si="1"/>
        <v>True</v>
      </c>
      <c r="O24" s="7">
        <f t="shared" si="2"/>
        <v>128</v>
      </c>
      <c r="P24" s="15">
        <f t="shared" si="3"/>
        <v>0</v>
      </c>
    </row>
    <row r="25" spans="1:16" x14ac:dyDescent="0.35">
      <c r="C25" s="7" t="s">
        <v>56</v>
      </c>
      <c r="D25" s="7" t="s">
        <v>53</v>
      </c>
      <c r="E25" s="7" t="str">
        <f>IF(D25="Frankfurt",$A$18,$A$21)</f>
        <v>europe-west</v>
      </c>
      <c r="F25" s="7">
        <v>32</v>
      </c>
      <c r="G25" s="7">
        <v>32</v>
      </c>
      <c r="H25" s="7">
        <v>8192</v>
      </c>
      <c r="I25" s="1" t="str">
        <f>getVM(F25,G25,$A$6,E25,$A$12,$A$24,$A$27)</f>
        <v>windows-f32sv2-standard</v>
      </c>
      <c r="J25" s="12">
        <f>getVMPriceHour(I25,$A$6,E25,$A$12)*$A$15</f>
        <v>2161.5299999999997</v>
      </c>
      <c r="K25" s="1" t="str">
        <f>getManagedDisk(H25,E25,$A$12,,$A$30)</f>
        <v>standardssd-e60</v>
      </c>
      <c r="L25" s="11">
        <f>getManagedDiskPriceMonth(K25,E25,$A$12)</f>
        <v>614.4</v>
      </c>
      <c r="M25" s="7">
        <f t="shared" si="0"/>
        <v>32</v>
      </c>
      <c r="N25" s="7" t="str">
        <f t="shared" si="1"/>
        <v>True</v>
      </c>
      <c r="O25" s="7">
        <f t="shared" si="2"/>
        <v>64</v>
      </c>
      <c r="P25" s="15">
        <f t="shared" si="3"/>
        <v>1</v>
      </c>
    </row>
    <row r="26" spans="1:16" x14ac:dyDescent="0.35">
      <c r="A26" s="2" t="s">
        <v>93</v>
      </c>
      <c r="C26" s="7" t="s">
        <v>55</v>
      </c>
      <c r="D26" s="7" t="s">
        <v>53</v>
      </c>
      <c r="E26" s="7" t="str">
        <f>IF(D26="Frankfurt",$A$18,$A$21)</f>
        <v>europe-west</v>
      </c>
      <c r="F26" s="7">
        <v>64</v>
      </c>
      <c r="G26" s="7">
        <v>128</v>
      </c>
      <c r="H26" s="7">
        <v>4096</v>
      </c>
      <c r="I26" s="1" t="str">
        <f>getVM(F26,G26,$A$6,E26,$A$12,$A$24,$A$27)</f>
        <v>windows-f64sv2-standard</v>
      </c>
      <c r="J26" s="12">
        <f>getVMPriceHour(I26,$A$6,E26,$A$12)*$A$15</f>
        <v>4323.0599999999995</v>
      </c>
      <c r="K26" s="1" t="str">
        <f>getManagedDisk(H26,E26,$A$12,,$A$30)</f>
        <v>standardssd-e50</v>
      </c>
      <c r="L26" s="11">
        <f>getManagedDiskPriceMonth(K26,E26,$A$12)</f>
        <v>307.2</v>
      </c>
      <c r="M26" s="7">
        <f t="shared" si="0"/>
        <v>64</v>
      </c>
      <c r="N26" s="7" t="str">
        <f t="shared" si="1"/>
        <v>True</v>
      </c>
      <c r="O26" s="7">
        <f t="shared" si="2"/>
        <v>128</v>
      </c>
      <c r="P26" s="15">
        <f t="shared" si="3"/>
        <v>0</v>
      </c>
    </row>
    <row r="27" spans="1:16" x14ac:dyDescent="0.35">
      <c r="A27" s="7" t="s">
        <v>92</v>
      </c>
      <c r="C27" s="7" t="s">
        <v>54</v>
      </c>
      <c r="D27" s="7" t="s">
        <v>53</v>
      </c>
      <c r="E27" s="7" t="str">
        <f>IF(D27="Frankfurt",$A$18,$A$21)</f>
        <v>europe-west</v>
      </c>
      <c r="F27" s="7">
        <v>128</v>
      </c>
      <c r="G27" s="7">
        <v>1024</v>
      </c>
      <c r="H27" s="7">
        <v>16384</v>
      </c>
      <c r="I27" s="1" t="str">
        <f>getVM(F27,G27,$A$6,E27,$A$12,$A$24,$A$27)</f>
        <v>windows-m128-standard</v>
      </c>
      <c r="J27" s="12">
        <f>getVMPriceHour(I27,$A$6,E27,$A$12)*$A$15</f>
        <v>17930.260000000002</v>
      </c>
      <c r="K27" s="1" t="str">
        <f>getManagedDisk(H27,E27,$A$12,,$A$30)</f>
        <v>standardssd-e70</v>
      </c>
      <c r="L27" s="11">
        <f>getManagedDiskPriceMonth(K27,E27,$A$12)</f>
        <v>1228.8</v>
      </c>
      <c r="M27" s="7">
        <f t="shared" si="0"/>
        <v>128</v>
      </c>
      <c r="N27" s="7" t="str">
        <f t="shared" si="1"/>
        <v>True</v>
      </c>
      <c r="O27" s="7">
        <f t="shared" si="2"/>
        <v>2048</v>
      </c>
      <c r="P27" s="15">
        <f t="shared" si="3"/>
        <v>1</v>
      </c>
    </row>
    <row r="28" spans="1:16" x14ac:dyDescent="0.35">
      <c r="C28" s="7" t="s">
        <v>52</v>
      </c>
      <c r="D28" s="7" t="s">
        <v>37</v>
      </c>
      <c r="E28" s="7" t="str">
        <f>IF(D28="Frankfurt",$A$18,$A$21)</f>
        <v>us-west-2</v>
      </c>
      <c r="F28" s="7">
        <v>2</v>
      </c>
      <c r="G28" s="7">
        <v>4</v>
      </c>
      <c r="H28" s="7">
        <v>32</v>
      </c>
      <c r="I28" s="1" t="str">
        <f>getVM(F28,G28,$A$6,E28,$A$12,$A$24,$A$27)</f>
        <v>windows-a2v2-standard</v>
      </c>
      <c r="J28" s="12">
        <f>getVMPriceHour(I28,$A$6,E28,$A$12)*$A$15</f>
        <v>82.490000000000009</v>
      </c>
      <c r="K28" s="1" t="str">
        <f>getManagedDisk(H28,E28,$A$12,,$A$30)</f>
        <v>standardssd-e4</v>
      </c>
      <c r="L28" s="11">
        <f>getManagedDiskPriceMonth(K28,E28,$A$12)</f>
        <v>2.4</v>
      </c>
      <c r="M28" s="7">
        <f t="shared" si="0"/>
        <v>2</v>
      </c>
      <c r="N28" s="7" t="str">
        <f t="shared" si="1"/>
        <v>True</v>
      </c>
      <c r="O28" s="7">
        <f t="shared" si="2"/>
        <v>4</v>
      </c>
      <c r="P28" s="15">
        <f t="shared" si="3"/>
        <v>0</v>
      </c>
    </row>
    <row r="29" spans="1:16" x14ac:dyDescent="0.35">
      <c r="A29" s="2" t="s">
        <v>91</v>
      </c>
      <c r="C29" s="7" t="s">
        <v>51</v>
      </c>
      <c r="D29" s="7" t="s">
        <v>37</v>
      </c>
      <c r="E29" s="7" t="str">
        <f>IF(D29="Frankfurt",$A$18,$A$21)</f>
        <v>us-west-2</v>
      </c>
      <c r="F29" s="7">
        <v>2</v>
      </c>
      <c r="G29" s="7">
        <v>4</v>
      </c>
      <c r="H29" s="7">
        <v>256</v>
      </c>
      <c r="I29" s="1" t="str">
        <f>getVM(F29,G29,$A$6,E29,$A$12,$A$24,$A$27)</f>
        <v>windows-a2v2-standard</v>
      </c>
      <c r="J29" s="12">
        <f>getVMPriceHour(I29,$A$6,E29,$A$12)*$A$15</f>
        <v>82.490000000000009</v>
      </c>
      <c r="K29" s="1" t="str">
        <f>getManagedDisk(H29,E29,$A$12,,$A$30)</f>
        <v>standardssd-e15</v>
      </c>
      <c r="L29" s="11">
        <f>getManagedDiskPriceMonth(K29,E29,$A$12)</f>
        <v>19.2</v>
      </c>
      <c r="M29" s="7">
        <f t="shared" si="0"/>
        <v>2</v>
      </c>
      <c r="N29" s="7" t="str">
        <f t="shared" si="1"/>
        <v>True</v>
      </c>
      <c r="O29" s="7">
        <f t="shared" si="2"/>
        <v>4</v>
      </c>
      <c r="P29" s="15">
        <f t="shared" si="3"/>
        <v>0</v>
      </c>
    </row>
    <row r="30" spans="1:16" x14ac:dyDescent="0.35">
      <c r="A30" s="7" t="s">
        <v>90</v>
      </c>
      <c r="C30" s="7" t="s">
        <v>50</v>
      </c>
      <c r="D30" s="7" t="s">
        <v>37</v>
      </c>
      <c r="E30" s="7" t="str">
        <f>IF(D30="Frankfurt",$A$18,$A$21)</f>
        <v>us-west-2</v>
      </c>
      <c r="F30" s="7">
        <v>2</v>
      </c>
      <c r="G30" s="7">
        <v>6</v>
      </c>
      <c r="H30" s="7">
        <v>32</v>
      </c>
      <c r="I30" s="1" t="str">
        <f>getVM(F30,G30,$A$6,E30,$A$12,$A$24,$A$27)</f>
        <v>windows-a2mv2-standard</v>
      </c>
      <c r="J30" s="12">
        <f>getVMPriceHour(I30,$A$6,E30,$A$12)*$A$15</f>
        <v>109.5</v>
      </c>
      <c r="K30" s="1" t="str">
        <f>getManagedDisk(H30,E30,$A$12,,$A$30)</f>
        <v>standardssd-e4</v>
      </c>
      <c r="L30" s="11">
        <f>getManagedDiskPriceMonth(K30,E30,$A$12)</f>
        <v>2.4</v>
      </c>
      <c r="M30" s="7">
        <f t="shared" si="0"/>
        <v>2</v>
      </c>
      <c r="N30" s="7" t="str">
        <f t="shared" si="1"/>
        <v>True</v>
      </c>
      <c r="O30" s="7">
        <f t="shared" si="2"/>
        <v>16</v>
      </c>
      <c r="P30" s="15">
        <f t="shared" si="3"/>
        <v>1.6666666666666665</v>
      </c>
    </row>
    <row r="31" spans="1:16" x14ac:dyDescent="0.35">
      <c r="C31" s="7" t="s">
        <v>49</v>
      </c>
      <c r="D31" s="7" t="s">
        <v>37</v>
      </c>
      <c r="E31" s="7" t="str">
        <f>IF(D31="Frankfurt",$A$18,$A$21)</f>
        <v>us-west-2</v>
      </c>
      <c r="F31" s="7">
        <v>2</v>
      </c>
      <c r="G31" s="7">
        <v>6</v>
      </c>
      <c r="H31" s="7">
        <v>512</v>
      </c>
      <c r="I31" s="1" t="str">
        <f>getVM(F31,G31,$A$6,E31,$A$12,$A$24,$A$27)</f>
        <v>windows-a2mv2-standard</v>
      </c>
      <c r="J31" s="12">
        <f>getVMPriceHour(I31,$A$6,E31,$A$12)*$A$15</f>
        <v>109.5</v>
      </c>
      <c r="K31" s="1" t="str">
        <f>getManagedDisk(H31,E31,$A$12,,$A$30)</f>
        <v>standardssd-e20</v>
      </c>
      <c r="L31" s="11">
        <f>getManagedDiskPriceMonth(K31,E31,$A$12)</f>
        <v>38.4</v>
      </c>
      <c r="M31" s="7">
        <f t="shared" si="0"/>
        <v>2</v>
      </c>
      <c r="N31" s="7" t="str">
        <f t="shared" si="1"/>
        <v>True</v>
      </c>
      <c r="O31" s="7">
        <f t="shared" si="2"/>
        <v>16</v>
      </c>
      <c r="P31" s="15">
        <f t="shared" si="3"/>
        <v>1.6666666666666665</v>
      </c>
    </row>
    <row r="32" spans="1:16" x14ac:dyDescent="0.35">
      <c r="A32" s="2"/>
      <c r="C32" s="7" t="s">
        <v>48</v>
      </c>
      <c r="D32" s="7" t="s">
        <v>37</v>
      </c>
      <c r="E32" s="7" t="str">
        <f>IF(D32="Frankfurt",$A$18,$A$21)</f>
        <v>us-west-2</v>
      </c>
      <c r="F32" s="7">
        <v>4</v>
      </c>
      <c r="G32" s="7">
        <v>4</v>
      </c>
      <c r="H32" s="7">
        <v>256</v>
      </c>
      <c r="I32" s="1" t="str">
        <f>getVM(F32,G32,$A$6,E32,$A$12,$A$24,$A$27)</f>
        <v>windows-a4v2-standard</v>
      </c>
      <c r="J32" s="12">
        <f>getVMPriceHour(I32,$A$6,E32,$A$12)*$A$15</f>
        <v>173.73999999999998</v>
      </c>
      <c r="K32" s="1" t="str">
        <f>getManagedDisk(H32,E32,$A$12,,$A$30)</f>
        <v>standardssd-e15</v>
      </c>
      <c r="L32" s="11">
        <f>getManagedDiskPriceMonth(K32,E32,$A$12)</f>
        <v>19.2</v>
      </c>
      <c r="M32" s="7">
        <f t="shared" si="0"/>
        <v>4</v>
      </c>
      <c r="N32" s="7" t="str">
        <f t="shared" si="1"/>
        <v>True</v>
      </c>
      <c r="O32" s="7">
        <f t="shared" si="2"/>
        <v>8</v>
      </c>
      <c r="P32" s="15">
        <f t="shared" si="3"/>
        <v>1</v>
      </c>
    </row>
    <row r="33" spans="1:16" x14ac:dyDescent="0.35">
      <c r="A33" s="14"/>
      <c r="C33" s="7" t="s">
        <v>47</v>
      </c>
      <c r="D33" s="7" t="s">
        <v>37</v>
      </c>
      <c r="E33" s="7" t="str">
        <f>IF(D33="Frankfurt",$A$18,$A$21)</f>
        <v>us-west-2</v>
      </c>
      <c r="F33" s="7">
        <v>4</v>
      </c>
      <c r="G33" s="7">
        <v>4</v>
      </c>
      <c r="H33" s="7">
        <v>256</v>
      </c>
      <c r="I33" s="1" t="str">
        <f>getVM(F33,G33,$A$6,E33,$A$12,$A$24,$A$27)</f>
        <v>windows-a4v2-standard</v>
      </c>
      <c r="J33" s="12">
        <f>getVMPriceHour(I33,$A$6,E33,$A$12)*$A$15</f>
        <v>173.73999999999998</v>
      </c>
      <c r="K33" s="1" t="str">
        <f>getManagedDisk(H33,E33,$A$12,,$A$30)</f>
        <v>standardssd-e15</v>
      </c>
      <c r="L33" s="11">
        <f>getManagedDiskPriceMonth(K33,E33,$A$12)</f>
        <v>19.2</v>
      </c>
      <c r="M33" s="7">
        <f t="shared" si="0"/>
        <v>4</v>
      </c>
      <c r="N33" s="7" t="str">
        <f t="shared" si="1"/>
        <v>True</v>
      </c>
      <c r="O33" s="7">
        <f t="shared" si="2"/>
        <v>8</v>
      </c>
      <c r="P33" s="15">
        <f t="shared" si="3"/>
        <v>1</v>
      </c>
    </row>
    <row r="34" spans="1:16" x14ac:dyDescent="0.35">
      <c r="C34" s="7" t="s">
        <v>46</v>
      </c>
      <c r="D34" s="7" t="s">
        <v>37</v>
      </c>
      <c r="E34" s="7" t="str">
        <f>IF(D34="Frankfurt",$A$18,$A$21)</f>
        <v>us-west-2</v>
      </c>
      <c r="F34" s="7">
        <v>4</v>
      </c>
      <c r="G34" s="7">
        <v>8</v>
      </c>
      <c r="H34" s="7">
        <v>512</v>
      </c>
      <c r="I34" s="1" t="str">
        <f>getVM(F34,G34,$A$6,E34,$A$12,$A$24,$A$27)</f>
        <v>windows-a4v2-standard</v>
      </c>
      <c r="J34" s="12">
        <f>getVMPriceHour(I34,$A$6,E34,$A$12)*$A$15</f>
        <v>173.73999999999998</v>
      </c>
      <c r="K34" s="1" t="str">
        <f>getManagedDisk(H34,E34,$A$12,,$A$30)</f>
        <v>standardssd-e20</v>
      </c>
      <c r="L34" s="11">
        <f>getManagedDiskPriceMonth(K34,E34,$A$12)</f>
        <v>38.4</v>
      </c>
      <c r="M34" s="7">
        <f t="shared" si="0"/>
        <v>4</v>
      </c>
      <c r="N34" s="7" t="str">
        <f t="shared" si="1"/>
        <v>True</v>
      </c>
      <c r="O34" s="7">
        <f t="shared" si="2"/>
        <v>8</v>
      </c>
      <c r="P34" s="15">
        <f t="shared" si="3"/>
        <v>0</v>
      </c>
    </row>
    <row r="35" spans="1:16" x14ac:dyDescent="0.35">
      <c r="C35" s="7" t="s">
        <v>45</v>
      </c>
      <c r="D35" s="7" t="s">
        <v>37</v>
      </c>
      <c r="E35" s="7" t="str">
        <f>IF(D35="Frankfurt",$A$18,$A$21)</f>
        <v>us-west-2</v>
      </c>
      <c r="F35" s="7">
        <v>4</v>
      </c>
      <c r="G35" s="7">
        <v>8</v>
      </c>
      <c r="H35" s="7">
        <v>128</v>
      </c>
      <c r="I35" s="1" t="str">
        <f>getVM(F35,G35,$A$6,E35,$A$12,$A$24,$A$27)</f>
        <v>windows-a4v2-standard</v>
      </c>
      <c r="J35" s="12">
        <f>getVMPriceHour(I35,$A$6,E35,$A$12)*$A$15</f>
        <v>173.73999999999998</v>
      </c>
      <c r="K35" s="1" t="str">
        <f>getManagedDisk(H35,E35,$A$12,,$A$30)</f>
        <v>standardssd-e10</v>
      </c>
      <c r="L35" s="11">
        <f>getManagedDiskPriceMonth(K35,E35,$A$12)</f>
        <v>9.6</v>
      </c>
      <c r="M35" s="7">
        <f t="shared" si="0"/>
        <v>4</v>
      </c>
      <c r="N35" s="7" t="str">
        <f t="shared" si="1"/>
        <v>True</v>
      </c>
      <c r="O35" s="7">
        <f t="shared" si="2"/>
        <v>8</v>
      </c>
      <c r="P35" s="15">
        <f t="shared" si="3"/>
        <v>0</v>
      </c>
    </row>
    <row r="36" spans="1:16" x14ac:dyDescent="0.35">
      <c r="C36" s="7" t="s">
        <v>44</v>
      </c>
      <c r="D36" s="7" t="s">
        <v>37</v>
      </c>
      <c r="E36" s="7" t="str">
        <f>IF(D36="Frankfurt",$A$18,$A$21)</f>
        <v>us-west-2</v>
      </c>
      <c r="F36" s="7">
        <v>4</v>
      </c>
      <c r="G36" s="7">
        <v>4</v>
      </c>
      <c r="H36" s="7">
        <v>256</v>
      </c>
      <c r="I36" s="1" t="str">
        <f>getVM(F36,G36,$A$6,E36,$A$12,$A$24,$A$27)</f>
        <v>windows-a4v2-standard</v>
      </c>
      <c r="J36" s="12">
        <f>getVMPriceHour(I36,$A$6,E36,$A$12)*$A$15</f>
        <v>173.73999999999998</v>
      </c>
      <c r="K36" s="1" t="str">
        <f>getManagedDisk(H36,E36,$A$12,,$A$30)</f>
        <v>standardssd-e15</v>
      </c>
      <c r="L36" s="11">
        <f>getManagedDiskPriceMonth(K36,E36,$A$12)</f>
        <v>19.2</v>
      </c>
      <c r="M36" s="7">
        <f t="shared" si="0"/>
        <v>4</v>
      </c>
      <c r="N36" s="7" t="str">
        <f t="shared" si="1"/>
        <v>True</v>
      </c>
      <c r="O36" s="7">
        <f t="shared" si="2"/>
        <v>8</v>
      </c>
      <c r="P36" s="15">
        <f t="shared" si="3"/>
        <v>1</v>
      </c>
    </row>
    <row r="37" spans="1:16" x14ac:dyDescent="0.35">
      <c r="C37" s="7" t="s">
        <v>43</v>
      </c>
      <c r="D37" s="7" t="s">
        <v>37</v>
      </c>
      <c r="E37" s="7" t="str">
        <f>IF(D37="Frankfurt",$A$18,$A$21)</f>
        <v>us-west-2</v>
      </c>
      <c r="F37" s="7">
        <v>8</v>
      </c>
      <c r="G37" s="7">
        <v>16</v>
      </c>
      <c r="H37" s="7">
        <v>256</v>
      </c>
      <c r="I37" s="1" t="str">
        <f>getVM(F37,G37,$A$6,E37,$A$12,$A$24,$A$27)</f>
        <v>windows-a8v2-standard</v>
      </c>
      <c r="J37" s="12">
        <f>getVMPriceHour(I37,$A$6,E37,$A$12)*$A$15</f>
        <v>365</v>
      </c>
      <c r="K37" s="1" t="str">
        <f>getManagedDisk(H37,E37,$A$12,,$A$30)</f>
        <v>standardssd-e15</v>
      </c>
      <c r="L37" s="11">
        <f>getManagedDiskPriceMonth(K37,E37,$A$12)</f>
        <v>19.2</v>
      </c>
      <c r="M37" s="7">
        <f t="shared" si="0"/>
        <v>8</v>
      </c>
      <c r="N37" s="7" t="str">
        <f t="shared" si="1"/>
        <v>True</v>
      </c>
      <c r="O37" s="7">
        <f t="shared" si="2"/>
        <v>16</v>
      </c>
      <c r="P37" s="15">
        <f t="shared" si="3"/>
        <v>0</v>
      </c>
    </row>
    <row r="38" spans="1:16" x14ac:dyDescent="0.35">
      <c r="C38" s="7" t="s">
        <v>42</v>
      </c>
      <c r="D38" s="7" t="s">
        <v>37</v>
      </c>
      <c r="E38" s="7" t="str">
        <f>IF(D38="Frankfurt",$A$18,$A$21)</f>
        <v>us-west-2</v>
      </c>
      <c r="F38" s="7">
        <v>8</v>
      </c>
      <c r="G38" s="7">
        <v>16</v>
      </c>
      <c r="H38" s="7">
        <v>128</v>
      </c>
      <c r="I38" s="1" t="str">
        <f>getVM(F38,G38,$A$6,E38,$A$12,$A$24,$A$27)</f>
        <v>windows-a8v2-standard</v>
      </c>
      <c r="J38" s="12">
        <f>getVMPriceHour(I38,$A$6,E38,$A$12)*$A$15</f>
        <v>365</v>
      </c>
      <c r="K38" s="1" t="str">
        <f>getManagedDisk(H38,E38,$A$12,,$A$30)</f>
        <v>standardssd-e10</v>
      </c>
      <c r="L38" s="11">
        <f>getManagedDiskPriceMonth(K38,E38,$A$12)</f>
        <v>9.6</v>
      </c>
      <c r="M38" s="7">
        <f t="shared" si="0"/>
        <v>8</v>
      </c>
      <c r="N38" s="7" t="str">
        <f t="shared" si="1"/>
        <v>True</v>
      </c>
      <c r="O38" s="7">
        <f t="shared" si="2"/>
        <v>16</v>
      </c>
      <c r="P38" s="15">
        <f t="shared" si="3"/>
        <v>0</v>
      </c>
    </row>
    <row r="39" spans="1:16" x14ac:dyDescent="0.35">
      <c r="C39" s="7" t="s">
        <v>41</v>
      </c>
      <c r="D39" s="7" t="s">
        <v>37</v>
      </c>
      <c r="E39" s="7" t="str">
        <f>IF(D39="Frankfurt",$A$18,$A$21)</f>
        <v>us-west-2</v>
      </c>
      <c r="F39" s="7">
        <v>16</v>
      </c>
      <c r="G39" s="7">
        <v>16</v>
      </c>
      <c r="H39" s="7">
        <v>512</v>
      </c>
      <c r="I39" s="1" t="str">
        <f>getVM(F39,G39,$A$6,E39,$A$12,$A$24,$A$27)</f>
        <v>windows-f16sv2-standard</v>
      </c>
      <c r="J39" s="12">
        <f>getVMPriceHour(I39,$A$6,E39,$A$12)*$A$15</f>
        <v>1006.67</v>
      </c>
      <c r="K39" s="1" t="str">
        <f>getManagedDisk(H39,E39,$A$12,,$A$30)</f>
        <v>standardssd-e20</v>
      </c>
      <c r="L39" s="11">
        <f>getManagedDiskPriceMonth(K39,E39,$A$12)</f>
        <v>38.4</v>
      </c>
      <c r="M39" s="7">
        <f t="shared" si="0"/>
        <v>16</v>
      </c>
      <c r="N39" s="7" t="str">
        <f t="shared" si="1"/>
        <v>True</v>
      </c>
      <c r="O39" s="7">
        <f t="shared" si="2"/>
        <v>32</v>
      </c>
      <c r="P39" s="15">
        <f t="shared" si="3"/>
        <v>1</v>
      </c>
    </row>
    <row r="40" spans="1:16" x14ac:dyDescent="0.35">
      <c r="C40" s="7" t="s">
        <v>40</v>
      </c>
      <c r="D40" s="7" t="s">
        <v>37</v>
      </c>
      <c r="E40" s="7" t="str">
        <f>IF(D40="Frankfurt",$A$18,$A$21)</f>
        <v>us-west-2</v>
      </c>
      <c r="F40" s="7">
        <v>16</v>
      </c>
      <c r="G40" s="7">
        <v>16</v>
      </c>
      <c r="H40" s="7">
        <v>2048</v>
      </c>
      <c r="I40" s="1" t="str">
        <f>getVM(F40,G40,$A$6,E40,$A$12,$A$24,$A$27)</f>
        <v>windows-f16sv2-standard</v>
      </c>
      <c r="J40" s="12">
        <f>getVMPriceHour(I40,$A$6,E40,$A$12)*$A$15</f>
        <v>1006.67</v>
      </c>
      <c r="K40" s="1" t="str">
        <f>getManagedDisk(H40,E40,$A$12,,$A$30)</f>
        <v>standardssd-e40</v>
      </c>
      <c r="L40" s="11">
        <f>getManagedDiskPriceMonth(K40,E40,$A$12)</f>
        <v>153.6</v>
      </c>
      <c r="M40" s="7">
        <f t="shared" si="0"/>
        <v>16</v>
      </c>
      <c r="N40" s="7" t="str">
        <f t="shared" si="1"/>
        <v>True</v>
      </c>
      <c r="O40" s="7">
        <f t="shared" si="2"/>
        <v>32</v>
      </c>
      <c r="P40" s="15">
        <f t="shared" si="3"/>
        <v>1</v>
      </c>
    </row>
    <row r="41" spans="1:16" x14ac:dyDescent="0.35">
      <c r="C41" s="7" t="s">
        <v>39</v>
      </c>
      <c r="D41" s="7" t="s">
        <v>37</v>
      </c>
      <c r="E41" s="7" t="str">
        <f>IF(D41="Frankfurt",$A$18,$A$21)</f>
        <v>us-west-2</v>
      </c>
      <c r="F41" s="7">
        <v>32</v>
      </c>
      <c r="G41" s="7">
        <v>128</v>
      </c>
      <c r="H41" s="7">
        <v>512</v>
      </c>
      <c r="I41" s="1" t="str">
        <f>getVM(F41,G41,$A$6,E41,$A$12,$A$24,$A$27)</f>
        <v>windows-hc44rs-standard</v>
      </c>
      <c r="J41" s="12">
        <f>getVMPriceHour(I41,$A$6,E41,$A$12)*$A$15</f>
        <v>1895.0800000000002</v>
      </c>
      <c r="K41" s="1" t="str">
        <f>getManagedDisk(H41,E41,$A$12,,$A$30)</f>
        <v>standardssd-e20</v>
      </c>
      <c r="L41" s="11">
        <f>getManagedDiskPriceMonth(K41,E41,$A$12)</f>
        <v>38.4</v>
      </c>
      <c r="M41" s="7">
        <f t="shared" si="0"/>
        <v>44</v>
      </c>
      <c r="N41" s="7" t="str">
        <f t="shared" si="1"/>
        <v>False</v>
      </c>
      <c r="O41" s="7">
        <f t="shared" si="2"/>
        <v>352</v>
      </c>
      <c r="P41" s="15">
        <f t="shared" si="3"/>
        <v>1.75</v>
      </c>
    </row>
    <row r="42" spans="1:16" x14ac:dyDescent="0.35">
      <c r="C42" s="7" t="s">
        <v>38</v>
      </c>
      <c r="D42" s="7" t="s">
        <v>37</v>
      </c>
      <c r="E42" s="7" t="str">
        <f>IF(D42="Frankfurt",$A$18,$A$21)</f>
        <v>us-west-2</v>
      </c>
      <c r="F42" s="7">
        <v>64</v>
      </c>
      <c r="G42" s="7">
        <v>128</v>
      </c>
      <c r="H42" s="7">
        <v>2048</v>
      </c>
      <c r="I42" s="1" t="str">
        <f>getVM(F42,G42,$A$6,E42,$A$12,$A$24,$A$27)</f>
        <v>windows-f64sv2-standard</v>
      </c>
      <c r="J42" s="12">
        <f>getVMPriceHour(I42,$A$6,E42,$A$12)*$A$15</f>
        <v>4025.95</v>
      </c>
      <c r="K42" s="1" t="str">
        <f>getManagedDisk(H42,E42,$A$12,,$A$30)</f>
        <v>standardssd-e40</v>
      </c>
      <c r="L42" s="11">
        <f>getManagedDiskPriceMonth(K42,E42,$A$12)</f>
        <v>153.6</v>
      </c>
      <c r="M42" s="7">
        <f t="shared" si="0"/>
        <v>64</v>
      </c>
      <c r="N42" s="7" t="str">
        <f t="shared" si="1"/>
        <v>True</v>
      </c>
      <c r="O42" s="7">
        <f t="shared" si="2"/>
        <v>128</v>
      </c>
      <c r="P42" s="15">
        <f t="shared" si="3"/>
        <v>0</v>
      </c>
    </row>
    <row r="45" spans="1:16" x14ac:dyDescent="0.35">
      <c r="G45" s="2" t="s">
        <v>100</v>
      </c>
      <c r="N45" s="2"/>
      <c r="O45" s="2" t="s">
        <v>102</v>
      </c>
      <c r="P45" s="2" t="s">
        <v>103</v>
      </c>
    </row>
    <row r="46" spans="1:16" x14ac:dyDescent="0.35">
      <c r="C46" s="2" t="s">
        <v>36</v>
      </c>
      <c r="G46" s="7">
        <f>SUM(G2:G42)</f>
        <v>2158</v>
      </c>
      <c r="J46" s="10"/>
      <c r="L46" s="10"/>
      <c r="N46" s="9"/>
      <c r="O46" s="7">
        <f>SUM(O2:O42)</f>
        <v>3668</v>
      </c>
      <c r="P46" s="15">
        <f t="shared" ref="P46" si="4">O46/G46-1</f>
        <v>0.69972196478220572</v>
      </c>
    </row>
  </sheetData>
  <conditionalFormatting sqref="P2:P4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{04700A8A-1CAA-44AB-B765-AF196DDCC2A1}</x14:id>
        </ext>
      </extLst>
    </cfRule>
  </conditionalFormatting>
  <conditionalFormatting sqref="P4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{7F9C312E-543A-4EC6-AD54-4FBB24762EC7}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700A8A-1CAA-44AB-B765-AF196DDCC2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P2:P42</xm:sqref>
        </x14:conditionalFormatting>
        <x14:conditionalFormatting xmlns:xm="http://schemas.microsoft.com/office/excel/2006/main">
          <x14:cfRule type="dataBar" id="{7F9C312E-543A-4EC6-AD54-4FBB24762E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B5C8-C127-4D78-B0A5-C46DD9B862D0}">
  <sheetPr codeName="Sheet7"/>
  <dimension ref="A7:H37"/>
  <sheetViews>
    <sheetView workbookViewId="0">
      <selection activeCell="C33" sqref="C33"/>
    </sheetView>
  </sheetViews>
  <sheetFormatPr defaultRowHeight="14.5" x14ac:dyDescent="0.35"/>
  <cols>
    <col min="1" max="1" width="11.26953125" customWidth="1"/>
    <col min="2" max="2" width="176.81640625" customWidth="1"/>
  </cols>
  <sheetData>
    <row r="7" spans="1:2" x14ac:dyDescent="0.35">
      <c r="A7" s="4">
        <v>43742</v>
      </c>
      <c r="B7" t="s">
        <v>14</v>
      </c>
    </row>
    <row r="8" spans="1:2" x14ac:dyDescent="0.35">
      <c r="B8" t="s">
        <v>30</v>
      </c>
    </row>
    <row r="9" spans="1:2" x14ac:dyDescent="0.35">
      <c r="A9" s="4"/>
      <c r="B9" t="s">
        <v>23</v>
      </c>
    </row>
    <row r="10" spans="1:2" x14ac:dyDescent="0.35">
      <c r="A10" s="4"/>
      <c r="B10" t="s">
        <v>24</v>
      </c>
    </row>
    <row r="11" spans="1:2" x14ac:dyDescent="0.35">
      <c r="A11" s="4"/>
      <c r="B11" t="s">
        <v>16</v>
      </c>
    </row>
    <row r="12" spans="1:2" x14ac:dyDescent="0.35">
      <c r="A12" s="4"/>
      <c r="B12" t="s">
        <v>9</v>
      </c>
    </row>
    <row r="13" spans="1:2" x14ac:dyDescent="0.35">
      <c r="B13" t="s">
        <v>29</v>
      </c>
    </row>
    <row r="14" spans="1:2" x14ac:dyDescent="0.35">
      <c r="A14" s="4">
        <v>43811</v>
      </c>
      <c r="B14" t="s">
        <v>13</v>
      </c>
    </row>
    <row r="15" spans="1:2" x14ac:dyDescent="0.35">
      <c r="A15" s="4"/>
      <c r="B15" t="s">
        <v>10</v>
      </c>
    </row>
    <row r="16" spans="1:2" x14ac:dyDescent="0.35">
      <c r="A16" s="4"/>
      <c r="B16" t="s">
        <v>11</v>
      </c>
    </row>
    <row r="17" spans="1:2" x14ac:dyDescent="0.35">
      <c r="A17" s="4" t="s">
        <v>26</v>
      </c>
      <c r="B17" t="s">
        <v>20</v>
      </c>
    </row>
    <row r="18" spans="1:2" x14ac:dyDescent="0.35">
      <c r="A18" s="4"/>
      <c r="B18" t="s">
        <v>21</v>
      </c>
    </row>
    <row r="19" spans="1:2" x14ac:dyDescent="0.35">
      <c r="A19" s="4"/>
      <c r="B19" t="s">
        <v>22</v>
      </c>
    </row>
    <row r="20" spans="1:2" x14ac:dyDescent="0.35">
      <c r="A20" s="4" t="s">
        <v>25</v>
      </c>
      <c r="B20" t="s">
        <v>17</v>
      </c>
    </row>
    <row r="21" spans="1:2" x14ac:dyDescent="0.35">
      <c r="A21" s="4"/>
      <c r="B21" t="s">
        <v>18</v>
      </c>
    </row>
    <row r="22" spans="1:2" x14ac:dyDescent="0.35">
      <c r="A22" s="4">
        <v>43194</v>
      </c>
      <c r="B22" t="s">
        <v>12</v>
      </c>
    </row>
    <row r="23" spans="1:2" x14ac:dyDescent="0.35">
      <c r="A23" s="4"/>
      <c r="B23" t="s">
        <v>15</v>
      </c>
    </row>
    <row r="24" spans="1:2" x14ac:dyDescent="0.35">
      <c r="A24" s="4"/>
      <c r="B24" t="s">
        <v>19</v>
      </c>
    </row>
    <row r="25" spans="1:2" x14ac:dyDescent="0.35">
      <c r="A25" s="4"/>
    </row>
    <row r="27" spans="1:2" x14ac:dyDescent="0.35">
      <c r="A27" t="s">
        <v>27</v>
      </c>
      <c r="B27" t="str">
        <f ca="1">_xlfn.CONCAT(getSession(),RANDBETWEEN(0,0))</f>
        <v>41684290358140</v>
      </c>
    </row>
    <row r="28" spans="1:2" x14ac:dyDescent="0.35">
      <c r="A28" t="s">
        <v>28</v>
      </c>
      <c r="B28" t="str">
        <f ca="1">_xlfn.CONCAT(getversion(),RANDBETWEEN(0,0))</f>
        <v>0.5.0.50</v>
      </c>
    </row>
    <row r="30" spans="1:2" x14ac:dyDescent="0.35">
      <c r="A30" s="4"/>
    </row>
    <row r="31" spans="1:2" x14ac:dyDescent="0.35">
      <c r="B31" t="s">
        <v>33</v>
      </c>
    </row>
    <row r="32" spans="1:2" x14ac:dyDescent="0.35">
      <c r="B32" s="5" t="s">
        <v>34</v>
      </c>
    </row>
    <row r="33" spans="2:8" x14ac:dyDescent="0.35">
      <c r="B33" t="s">
        <v>31</v>
      </c>
    </row>
    <row r="34" spans="2:8" x14ac:dyDescent="0.35">
      <c r="B34" s="5" t="s">
        <v>32</v>
      </c>
    </row>
    <row r="36" spans="2:8" x14ac:dyDescent="0.35">
      <c r="B36" s="8" t="s">
        <v>35</v>
      </c>
      <c r="C36" s="8"/>
      <c r="D36" s="8"/>
      <c r="E36" s="8"/>
      <c r="F36" s="8"/>
      <c r="G36" s="8"/>
      <c r="H36" s="8"/>
    </row>
    <row r="37" spans="2:8" x14ac:dyDescent="0.35">
      <c r="B37" t="s">
        <v>8</v>
      </c>
    </row>
  </sheetData>
  <mergeCells count="1">
    <mergeCell ref="B36:H36"/>
  </mergeCells>
  <hyperlinks>
    <hyperlink ref="B34" r:id="rId1" xr:uid="{22F5D36B-C2BB-40D7-9616-3F46CD7C9A8F}"/>
    <hyperlink ref="B32" r:id="rId2" xr:uid="{E0C6F769-2DFF-4763-9EA3-4133527547A1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Session 01</vt:lpstr>
      <vt:lpstr>Session 02</vt:lpstr>
      <vt:lpstr>Session 03</vt:lpstr>
      <vt:lpstr>Session 04</vt:lpstr>
      <vt:lpstr>About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2019-04-29T14:40:16Z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